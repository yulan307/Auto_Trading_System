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des\Auto_Trading_System\outputs\"/>
    </mc:Choice>
  </mc:AlternateContent>
  <bookViews>
    <workbookView xWindow="0" yWindow="0" windowWidth="18336" windowHeight="9804"/>
  </bookViews>
  <sheets>
    <sheet name="SPY_trend_state_research_1d_mar" sheetId="1" r:id="rId1"/>
  </sheets>
  <calcPr calcId="162913"/>
</workbook>
</file>

<file path=xl/calcChain.xml><?xml version="1.0" encoding="utf-8"?>
<calcChain xmlns="http://schemas.openxmlformats.org/spreadsheetml/2006/main">
  <c r="V66" i="1" l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65" i="1"/>
  <c r="S65" i="1" l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64" i="1"/>
  <c r="S66" i="1"/>
  <c r="S67" i="1"/>
  <c r="S68" i="1"/>
  <c r="S69" i="1"/>
  <c r="P108" i="1" l="1"/>
  <c r="P187" i="1"/>
  <c r="P335" i="1"/>
  <c r="O343" i="1"/>
  <c r="Q410" i="1"/>
  <c r="P419" i="1"/>
  <c r="Q472" i="1"/>
  <c r="P479" i="1"/>
  <c r="O522" i="1"/>
  <c r="P527" i="1"/>
  <c r="Q564" i="1"/>
  <c r="Q7" i="1"/>
  <c r="P7" i="1"/>
  <c r="O7" i="1"/>
  <c r="N144" i="1"/>
  <c r="N160" i="1"/>
  <c r="N272" i="1"/>
  <c r="N288" i="1"/>
  <c r="N400" i="1"/>
  <c r="N416" i="1"/>
  <c r="N528" i="1"/>
  <c r="N54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64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22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7" i="1"/>
  <c r="H7" i="1"/>
  <c r="H8" i="1"/>
  <c r="Q8" i="1" s="1"/>
  <c r="H9" i="1"/>
  <c r="Q9" i="1" s="1"/>
  <c r="H10" i="1"/>
  <c r="Q10" i="1" s="1"/>
  <c r="H11" i="1"/>
  <c r="Q11" i="1" s="1"/>
  <c r="R11" i="1" s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H12" i="1"/>
  <c r="Q12" i="1" s="1"/>
  <c r="R12" i="1" s="1"/>
  <c r="H13" i="1"/>
  <c r="H14" i="1"/>
  <c r="H15" i="1"/>
  <c r="H16" i="1"/>
  <c r="H17" i="1"/>
  <c r="H18" i="1"/>
  <c r="H19" i="1"/>
  <c r="Q19" i="1" s="1"/>
  <c r="H20" i="1"/>
  <c r="H21" i="1"/>
  <c r="P21" i="1" s="1"/>
  <c r="H22" i="1"/>
  <c r="H23" i="1"/>
  <c r="H24" i="1"/>
  <c r="H25" i="1"/>
  <c r="H26" i="1"/>
  <c r="H27" i="1"/>
  <c r="H28" i="1"/>
  <c r="P28" i="1" s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O63" i="1" s="1"/>
  <c r="H64" i="1"/>
  <c r="H65" i="1"/>
  <c r="P65" i="1" s="1"/>
  <c r="H66" i="1"/>
  <c r="H67" i="1"/>
  <c r="H68" i="1"/>
  <c r="H69" i="1"/>
  <c r="H70" i="1"/>
  <c r="H71" i="1"/>
  <c r="H72" i="1"/>
  <c r="H73" i="1"/>
  <c r="H74" i="1"/>
  <c r="H75" i="1"/>
  <c r="H76" i="1"/>
  <c r="P76" i="1" s="1"/>
  <c r="H77" i="1"/>
  <c r="H78" i="1"/>
  <c r="H79" i="1"/>
  <c r="H80" i="1"/>
  <c r="N80" i="1" s="1"/>
  <c r="H81" i="1"/>
  <c r="H82" i="1"/>
  <c r="H83" i="1"/>
  <c r="H84" i="1"/>
  <c r="H85" i="1"/>
  <c r="H86" i="1"/>
  <c r="H87" i="1"/>
  <c r="H88" i="1"/>
  <c r="H89" i="1"/>
  <c r="H90" i="1"/>
  <c r="H91" i="1"/>
  <c r="H92" i="1"/>
  <c r="N92" i="1" s="1"/>
  <c r="H93" i="1"/>
  <c r="H94" i="1"/>
  <c r="H95" i="1"/>
  <c r="H96" i="1"/>
  <c r="N96" i="1" s="1"/>
  <c r="H97" i="1"/>
  <c r="H98" i="1"/>
  <c r="H99" i="1"/>
  <c r="H100" i="1"/>
  <c r="H101" i="1"/>
  <c r="H102" i="1"/>
  <c r="H103" i="1"/>
  <c r="H104" i="1"/>
  <c r="H105" i="1"/>
  <c r="H106" i="1"/>
  <c r="H107" i="1"/>
  <c r="H108" i="1"/>
  <c r="N108" i="1" s="1"/>
  <c r="H109" i="1"/>
  <c r="H110" i="1"/>
  <c r="H111" i="1"/>
  <c r="O111" i="1" s="1"/>
  <c r="H112" i="1"/>
  <c r="N112" i="1" s="1"/>
  <c r="H113" i="1"/>
  <c r="H114" i="1"/>
  <c r="H115" i="1"/>
  <c r="H116" i="1"/>
  <c r="H117" i="1"/>
  <c r="H118" i="1"/>
  <c r="H119" i="1"/>
  <c r="H120" i="1"/>
  <c r="H121" i="1"/>
  <c r="H122" i="1"/>
  <c r="H123" i="1"/>
  <c r="H124" i="1"/>
  <c r="N124" i="1" s="1"/>
  <c r="H125" i="1"/>
  <c r="H126" i="1"/>
  <c r="H127" i="1"/>
  <c r="H128" i="1"/>
  <c r="N128" i="1" s="1"/>
  <c r="H129" i="1"/>
  <c r="H130" i="1"/>
  <c r="H131" i="1"/>
  <c r="H132" i="1"/>
  <c r="H133" i="1"/>
  <c r="H134" i="1"/>
  <c r="H135" i="1"/>
  <c r="H136" i="1"/>
  <c r="H137" i="1"/>
  <c r="H138" i="1"/>
  <c r="H139" i="1"/>
  <c r="H140" i="1"/>
  <c r="Q140" i="1" s="1"/>
  <c r="H141" i="1"/>
  <c r="H142" i="1"/>
  <c r="H143" i="1"/>
  <c r="H144" i="1"/>
  <c r="H145" i="1"/>
  <c r="H146" i="1"/>
  <c r="H147" i="1"/>
  <c r="H148" i="1"/>
  <c r="H149" i="1"/>
  <c r="H150" i="1"/>
  <c r="O150" i="1" s="1"/>
  <c r="H151" i="1"/>
  <c r="O151" i="1" s="1"/>
  <c r="H152" i="1"/>
  <c r="H153" i="1"/>
  <c r="H154" i="1"/>
  <c r="H155" i="1"/>
  <c r="H156" i="1"/>
  <c r="N156" i="1" s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O186" i="1" s="1"/>
  <c r="H187" i="1"/>
  <c r="H188" i="1"/>
  <c r="H189" i="1"/>
  <c r="H190" i="1"/>
  <c r="H191" i="1"/>
  <c r="H192" i="1"/>
  <c r="N192" i="1" s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N208" i="1" s="1"/>
  <c r="H209" i="1"/>
  <c r="H210" i="1"/>
  <c r="H211" i="1"/>
  <c r="H212" i="1"/>
  <c r="H213" i="1"/>
  <c r="H214" i="1"/>
  <c r="H215" i="1"/>
  <c r="H216" i="1"/>
  <c r="H217" i="1"/>
  <c r="H218" i="1"/>
  <c r="H219" i="1"/>
  <c r="O219" i="1" s="1"/>
  <c r="H220" i="1"/>
  <c r="O220" i="1" s="1"/>
  <c r="H221" i="1"/>
  <c r="H222" i="1"/>
  <c r="H223" i="1"/>
  <c r="H224" i="1"/>
  <c r="N224" i="1" s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N240" i="1" s="1"/>
  <c r="H241" i="1"/>
  <c r="H242" i="1"/>
  <c r="H243" i="1"/>
  <c r="H244" i="1"/>
  <c r="H245" i="1"/>
  <c r="H246" i="1"/>
  <c r="H247" i="1"/>
  <c r="H248" i="1"/>
  <c r="H249" i="1"/>
  <c r="H250" i="1"/>
  <c r="H251" i="1"/>
  <c r="P251" i="1" s="1"/>
  <c r="H252" i="1"/>
  <c r="H253" i="1"/>
  <c r="H254" i="1"/>
  <c r="H255" i="1"/>
  <c r="H256" i="1"/>
  <c r="N256" i="1" s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O274" i="1" s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Q289" i="1" s="1"/>
  <c r="H290" i="1"/>
  <c r="H291" i="1"/>
  <c r="H292" i="1"/>
  <c r="H293" i="1"/>
  <c r="O293" i="1" s="1"/>
  <c r="H294" i="1"/>
  <c r="H295" i="1"/>
  <c r="H296" i="1"/>
  <c r="H297" i="1"/>
  <c r="H298" i="1"/>
  <c r="H299" i="1"/>
  <c r="H300" i="1"/>
  <c r="P300" i="1" s="1"/>
  <c r="H301" i="1"/>
  <c r="H302" i="1"/>
  <c r="H303" i="1"/>
  <c r="Q303" i="1" s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N320" i="1" s="1"/>
  <c r="H321" i="1"/>
  <c r="Q321" i="1" s="1"/>
  <c r="H322" i="1"/>
  <c r="H323" i="1"/>
  <c r="H324" i="1"/>
  <c r="H325" i="1"/>
  <c r="O325" i="1" s="1"/>
  <c r="H326" i="1"/>
  <c r="H327" i="1"/>
  <c r="H328" i="1"/>
  <c r="H329" i="1"/>
  <c r="H330" i="1"/>
  <c r="H331" i="1"/>
  <c r="H332" i="1"/>
  <c r="P332" i="1" s="1"/>
  <c r="H333" i="1"/>
  <c r="H334" i="1"/>
  <c r="H335" i="1"/>
  <c r="H336" i="1"/>
  <c r="N336" i="1" s="1"/>
  <c r="H337" i="1"/>
  <c r="H338" i="1"/>
  <c r="H339" i="1"/>
  <c r="H340" i="1"/>
  <c r="H341" i="1"/>
  <c r="H342" i="1"/>
  <c r="P342" i="1" s="1"/>
  <c r="H343" i="1"/>
  <c r="H344" i="1"/>
  <c r="H345" i="1"/>
  <c r="H346" i="1"/>
  <c r="H347" i="1"/>
  <c r="H348" i="1"/>
  <c r="H349" i="1"/>
  <c r="H350" i="1"/>
  <c r="H351" i="1"/>
  <c r="H352" i="1"/>
  <c r="N352" i="1" s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N368" i="1" s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N384" i="1" s="1"/>
  <c r="H385" i="1"/>
  <c r="H386" i="1"/>
  <c r="H387" i="1"/>
  <c r="H388" i="1"/>
  <c r="H389" i="1"/>
  <c r="H390" i="1"/>
  <c r="O390" i="1" s="1"/>
  <c r="H391" i="1"/>
  <c r="H392" i="1"/>
  <c r="H393" i="1"/>
  <c r="H394" i="1"/>
  <c r="H395" i="1"/>
  <c r="H396" i="1"/>
  <c r="H397" i="1"/>
  <c r="H398" i="1"/>
  <c r="H399" i="1"/>
  <c r="H400" i="1"/>
  <c r="P400" i="1" s="1"/>
  <c r="H401" i="1"/>
  <c r="H402" i="1"/>
  <c r="H403" i="1"/>
  <c r="H404" i="1"/>
  <c r="H405" i="1"/>
  <c r="H406" i="1"/>
  <c r="H407" i="1"/>
  <c r="H408" i="1"/>
  <c r="H409" i="1"/>
  <c r="H410" i="1"/>
  <c r="O410" i="1" s="1"/>
  <c r="H411" i="1"/>
  <c r="H412" i="1"/>
  <c r="H413" i="1"/>
  <c r="H414" i="1"/>
  <c r="H415" i="1"/>
  <c r="H416" i="1"/>
  <c r="H417" i="1"/>
  <c r="P417" i="1" s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N432" i="1" s="1"/>
  <c r="H433" i="1"/>
  <c r="H434" i="1"/>
  <c r="H435" i="1"/>
  <c r="H436" i="1"/>
  <c r="Q436" i="1" s="1"/>
  <c r="H437" i="1"/>
  <c r="H438" i="1"/>
  <c r="H439" i="1"/>
  <c r="H440" i="1"/>
  <c r="H441" i="1"/>
  <c r="H442" i="1"/>
  <c r="H443" i="1"/>
  <c r="H444" i="1"/>
  <c r="H445" i="1"/>
  <c r="H446" i="1"/>
  <c r="H447" i="1"/>
  <c r="H448" i="1"/>
  <c r="N448" i="1" s="1"/>
  <c r="H449" i="1"/>
  <c r="H450" i="1"/>
  <c r="H451" i="1"/>
  <c r="P451" i="1" s="1"/>
  <c r="H452" i="1"/>
  <c r="O452" i="1" s="1"/>
  <c r="H453" i="1"/>
  <c r="H454" i="1"/>
  <c r="H455" i="1"/>
  <c r="H456" i="1"/>
  <c r="H457" i="1"/>
  <c r="H458" i="1"/>
  <c r="H459" i="1"/>
  <c r="O459" i="1" s="1"/>
  <c r="H460" i="1"/>
  <c r="H461" i="1"/>
  <c r="H462" i="1"/>
  <c r="H463" i="1"/>
  <c r="H464" i="1"/>
  <c r="N464" i="1" s="1"/>
  <c r="H465" i="1"/>
  <c r="O465" i="1" s="1"/>
  <c r="H466" i="1"/>
  <c r="H467" i="1"/>
  <c r="H468" i="1"/>
  <c r="H469" i="1"/>
  <c r="H470" i="1"/>
  <c r="H471" i="1"/>
  <c r="Q471" i="1" s="1"/>
  <c r="H472" i="1"/>
  <c r="H473" i="1"/>
  <c r="H474" i="1"/>
  <c r="H475" i="1"/>
  <c r="H476" i="1"/>
  <c r="H477" i="1"/>
  <c r="H478" i="1"/>
  <c r="H479" i="1"/>
  <c r="H480" i="1"/>
  <c r="N480" i="1" s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N496" i="1" s="1"/>
  <c r="H497" i="1"/>
  <c r="Q497" i="1" s="1"/>
  <c r="H498" i="1"/>
  <c r="H499" i="1"/>
  <c r="O499" i="1" s="1"/>
  <c r="H500" i="1"/>
  <c r="H501" i="1"/>
  <c r="H502" i="1"/>
  <c r="H503" i="1"/>
  <c r="H504" i="1"/>
  <c r="H505" i="1"/>
  <c r="O505" i="1" s="1"/>
  <c r="H506" i="1"/>
  <c r="H507" i="1"/>
  <c r="H508" i="1"/>
  <c r="H509" i="1"/>
  <c r="H510" i="1"/>
  <c r="P510" i="1" s="1"/>
  <c r="H511" i="1"/>
  <c r="H512" i="1"/>
  <c r="N512" i="1" s="1"/>
  <c r="H513" i="1"/>
  <c r="H514" i="1"/>
  <c r="H515" i="1"/>
  <c r="Q515" i="1" s="1"/>
  <c r="H516" i="1"/>
  <c r="P516" i="1" s="1"/>
  <c r="H517" i="1"/>
  <c r="H518" i="1"/>
  <c r="H519" i="1"/>
  <c r="H520" i="1"/>
  <c r="H521" i="1"/>
  <c r="P521" i="1" s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P543" i="1" s="1"/>
  <c r="H544" i="1"/>
  <c r="H545" i="1"/>
  <c r="H546" i="1"/>
  <c r="H547" i="1"/>
  <c r="H548" i="1"/>
  <c r="O548" i="1" s="1"/>
  <c r="H549" i="1"/>
  <c r="H550" i="1"/>
  <c r="H551" i="1"/>
  <c r="H552" i="1"/>
  <c r="H553" i="1"/>
  <c r="H554" i="1"/>
  <c r="H555" i="1"/>
  <c r="H556" i="1"/>
  <c r="H557" i="1"/>
  <c r="H558" i="1"/>
  <c r="H559" i="1"/>
  <c r="P559" i="1" s="1"/>
  <c r="H560" i="1"/>
  <c r="N560" i="1" s="1"/>
  <c r="H561" i="1"/>
  <c r="H562" i="1"/>
  <c r="H563" i="1"/>
  <c r="H564" i="1"/>
  <c r="O564" i="1" s="1"/>
  <c r="R303" i="1" l="1"/>
  <c r="Q492" i="1"/>
  <c r="P492" i="1"/>
  <c r="N492" i="1"/>
  <c r="Q428" i="1"/>
  <c r="O428" i="1"/>
  <c r="P428" i="1"/>
  <c r="N428" i="1"/>
  <c r="Q364" i="1"/>
  <c r="O364" i="1"/>
  <c r="P364" i="1"/>
  <c r="N364" i="1"/>
  <c r="P204" i="1"/>
  <c r="Q204" i="1"/>
  <c r="O204" i="1"/>
  <c r="N204" i="1"/>
  <c r="O558" i="1"/>
  <c r="P558" i="1"/>
  <c r="O542" i="1"/>
  <c r="P542" i="1"/>
  <c r="O526" i="1"/>
  <c r="P526" i="1"/>
  <c r="O494" i="1"/>
  <c r="P494" i="1"/>
  <c r="Q494" i="1"/>
  <c r="R494" i="1" s="1"/>
  <c r="O478" i="1"/>
  <c r="Q478" i="1"/>
  <c r="O462" i="1"/>
  <c r="P462" i="1"/>
  <c r="Q462" i="1"/>
  <c r="R462" i="1" s="1"/>
  <c r="O446" i="1"/>
  <c r="P446" i="1"/>
  <c r="Q446" i="1"/>
  <c r="Q430" i="1"/>
  <c r="O430" i="1"/>
  <c r="P430" i="1"/>
  <c r="Q414" i="1"/>
  <c r="O414" i="1"/>
  <c r="P414" i="1"/>
  <c r="O398" i="1"/>
  <c r="Q398" i="1"/>
  <c r="R398" i="1" s="1"/>
  <c r="P398" i="1"/>
  <c r="O382" i="1"/>
  <c r="Q382" i="1"/>
  <c r="O366" i="1"/>
  <c r="Q366" i="1"/>
  <c r="P366" i="1"/>
  <c r="O350" i="1"/>
  <c r="Q350" i="1"/>
  <c r="P350" i="1"/>
  <c r="O334" i="1"/>
  <c r="Q334" i="1"/>
  <c r="R334" i="1" s="1"/>
  <c r="P334" i="1"/>
  <c r="O318" i="1"/>
  <c r="P318" i="1"/>
  <c r="Q318" i="1"/>
  <c r="R318" i="1" s="1"/>
  <c r="O302" i="1"/>
  <c r="P302" i="1"/>
  <c r="Q302" i="1"/>
  <c r="O286" i="1"/>
  <c r="P286" i="1"/>
  <c r="Q286" i="1"/>
  <c r="O270" i="1"/>
  <c r="P270" i="1"/>
  <c r="Q270" i="1"/>
  <c r="R270" i="1" s="1"/>
  <c r="O254" i="1"/>
  <c r="P254" i="1"/>
  <c r="Q254" i="1"/>
  <c r="R254" i="1" s="1"/>
  <c r="O238" i="1"/>
  <c r="P238" i="1"/>
  <c r="Q238" i="1"/>
  <c r="R238" i="1" s="1"/>
  <c r="O222" i="1"/>
  <c r="P222" i="1"/>
  <c r="Q222" i="1"/>
  <c r="R222" i="1" s="1"/>
  <c r="O206" i="1"/>
  <c r="P206" i="1"/>
  <c r="Q206" i="1"/>
  <c r="R206" i="1" s="1"/>
  <c r="O190" i="1"/>
  <c r="P190" i="1"/>
  <c r="Q190" i="1"/>
  <c r="O174" i="1"/>
  <c r="P174" i="1"/>
  <c r="Q174" i="1"/>
  <c r="O158" i="1"/>
  <c r="P158" i="1"/>
  <c r="Q158" i="1"/>
  <c r="O142" i="1"/>
  <c r="P142" i="1"/>
  <c r="Q142" i="1"/>
  <c r="R142" i="1" s="1"/>
  <c r="O126" i="1"/>
  <c r="P126" i="1"/>
  <c r="Q126" i="1"/>
  <c r="O110" i="1"/>
  <c r="P110" i="1"/>
  <c r="Q110" i="1"/>
  <c r="O94" i="1"/>
  <c r="P94" i="1"/>
  <c r="Q94" i="1"/>
  <c r="O78" i="1"/>
  <c r="P78" i="1"/>
  <c r="Q78" i="1"/>
  <c r="R78" i="1" s="1"/>
  <c r="O62" i="1"/>
  <c r="P62" i="1"/>
  <c r="Q62" i="1"/>
  <c r="R62" i="1" s="1"/>
  <c r="O46" i="1"/>
  <c r="P46" i="1"/>
  <c r="Q46" i="1"/>
  <c r="O30" i="1"/>
  <c r="P30" i="1"/>
  <c r="Q30" i="1"/>
  <c r="Q14" i="1"/>
  <c r="P14" i="1"/>
  <c r="O14" i="1"/>
  <c r="O557" i="1"/>
  <c r="P557" i="1"/>
  <c r="Q557" i="1"/>
  <c r="N557" i="1"/>
  <c r="O541" i="1"/>
  <c r="P541" i="1"/>
  <c r="Q541" i="1"/>
  <c r="N541" i="1"/>
  <c r="O525" i="1"/>
  <c r="P525" i="1"/>
  <c r="Q525" i="1"/>
  <c r="N525" i="1"/>
  <c r="O509" i="1"/>
  <c r="P509" i="1"/>
  <c r="Q509" i="1"/>
  <c r="N509" i="1"/>
  <c r="P493" i="1"/>
  <c r="O493" i="1"/>
  <c r="Q493" i="1"/>
  <c r="R493" i="1" s="1"/>
  <c r="N493" i="1"/>
  <c r="P477" i="1"/>
  <c r="O477" i="1"/>
  <c r="Q477" i="1"/>
  <c r="N477" i="1"/>
  <c r="P461" i="1"/>
  <c r="Q461" i="1"/>
  <c r="O461" i="1"/>
  <c r="N461" i="1"/>
  <c r="O445" i="1"/>
  <c r="P445" i="1"/>
  <c r="Q445" i="1"/>
  <c r="N445" i="1"/>
  <c r="O429" i="1"/>
  <c r="P429" i="1"/>
  <c r="Q429" i="1"/>
  <c r="R429" i="1" s="1"/>
  <c r="N429" i="1"/>
  <c r="O413" i="1"/>
  <c r="P413" i="1"/>
  <c r="Q413" i="1"/>
  <c r="N413" i="1"/>
  <c r="O397" i="1"/>
  <c r="P397" i="1"/>
  <c r="Q397" i="1"/>
  <c r="N397" i="1"/>
  <c r="O381" i="1"/>
  <c r="P381" i="1"/>
  <c r="Q381" i="1"/>
  <c r="N381" i="1"/>
  <c r="O365" i="1"/>
  <c r="P365" i="1"/>
  <c r="Q365" i="1"/>
  <c r="N365" i="1"/>
  <c r="O349" i="1"/>
  <c r="P349" i="1"/>
  <c r="Q349" i="1"/>
  <c r="N349" i="1"/>
  <c r="O333" i="1"/>
  <c r="P333" i="1"/>
  <c r="Q333" i="1"/>
  <c r="N333" i="1"/>
  <c r="O317" i="1"/>
  <c r="P317" i="1"/>
  <c r="Q317" i="1"/>
  <c r="N317" i="1"/>
  <c r="O301" i="1"/>
  <c r="P301" i="1"/>
  <c r="Q301" i="1"/>
  <c r="N301" i="1"/>
  <c r="P285" i="1"/>
  <c r="Q285" i="1"/>
  <c r="R285" i="1" s="1"/>
  <c r="O285" i="1"/>
  <c r="N285" i="1"/>
  <c r="P269" i="1"/>
  <c r="Q269" i="1"/>
  <c r="O269" i="1"/>
  <c r="N269" i="1"/>
  <c r="P253" i="1"/>
  <c r="Q253" i="1"/>
  <c r="O253" i="1"/>
  <c r="N253" i="1"/>
  <c r="P237" i="1"/>
  <c r="Q237" i="1"/>
  <c r="O237" i="1"/>
  <c r="N237" i="1"/>
  <c r="P221" i="1"/>
  <c r="Q221" i="1"/>
  <c r="O221" i="1"/>
  <c r="N221" i="1"/>
  <c r="P205" i="1"/>
  <c r="Q205" i="1"/>
  <c r="R205" i="1" s="1"/>
  <c r="O205" i="1"/>
  <c r="N205" i="1"/>
  <c r="P189" i="1"/>
  <c r="Q189" i="1"/>
  <c r="O189" i="1"/>
  <c r="N189" i="1"/>
  <c r="P173" i="1"/>
  <c r="Q173" i="1"/>
  <c r="O173" i="1"/>
  <c r="N173" i="1"/>
  <c r="P157" i="1"/>
  <c r="Q157" i="1"/>
  <c r="O157" i="1"/>
  <c r="N157" i="1"/>
  <c r="P141" i="1"/>
  <c r="Q141" i="1"/>
  <c r="R141" i="1" s="1"/>
  <c r="O141" i="1"/>
  <c r="N141" i="1"/>
  <c r="P125" i="1"/>
  <c r="Q125" i="1"/>
  <c r="O125" i="1"/>
  <c r="N125" i="1"/>
  <c r="P109" i="1"/>
  <c r="Q109" i="1"/>
  <c r="O109" i="1"/>
  <c r="N109" i="1"/>
  <c r="P93" i="1"/>
  <c r="Q93" i="1"/>
  <c r="O93" i="1"/>
  <c r="N93" i="1"/>
  <c r="P77" i="1"/>
  <c r="Q77" i="1"/>
  <c r="O77" i="1"/>
  <c r="N77" i="1"/>
  <c r="P61" i="1"/>
  <c r="Q61" i="1"/>
  <c r="O61" i="1"/>
  <c r="P45" i="1"/>
  <c r="Q45" i="1"/>
  <c r="O45" i="1"/>
  <c r="P29" i="1"/>
  <c r="Q29" i="1"/>
  <c r="O29" i="1"/>
  <c r="Q13" i="1"/>
  <c r="R13" i="1" s="1"/>
  <c r="P13" i="1"/>
  <c r="O13" i="1"/>
  <c r="N542" i="1"/>
  <c r="N414" i="1"/>
  <c r="N286" i="1"/>
  <c r="N158" i="1"/>
  <c r="Q21" i="1"/>
  <c r="Q526" i="1"/>
  <c r="R526" i="1" s="1"/>
  <c r="P478" i="1"/>
  <c r="O315" i="1"/>
  <c r="P315" i="1"/>
  <c r="Q315" i="1"/>
  <c r="N315" i="1"/>
  <c r="N526" i="1"/>
  <c r="N398" i="1"/>
  <c r="N270" i="1"/>
  <c r="N142" i="1"/>
  <c r="P363" i="1"/>
  <c r="Q363" i="1"/>
  <c r="R363" i="1" s="1"/>
  <c r="N363" i="1"/>
  <c r="O107" i="1"/>
  <c r="P107" i="1"/>
  <c r="Q107" i="1"/>
  <c r="N107" i="1"/>
  <c r="P554" i="1"/>
  <c r="Q554" i="1"/>
  <c r="N554" i="1"/>
  <c r="P538" i="1"/>
  <c r="Q538" i="1"/>
  <c r="N538" i="1"/>
  <c r="P522" i="1"/>
  <c r="Q522" i="1"/>
  <c r="N522" i="1"/>
  <c r="O506" i="1"/>
  <c r="P506" i="1"/>
  <c r="Q506" i="1"/>
  <c r="N506" i="1"/>
  <c r="O490" i="1"/>
  <c r="N490" i="1"/>
  <c r="P490" i="1"/>
  <c r="Q490" i="1"/>
  <c r="O474" i="1"/>
  <c r="P474" i="1"/>
  <c r="Q474" i="1"/>
  <c r="N474" i="1"/>
  <c r="N458" i="1"/>
  <c r="O458" i="1"/>
  <c r="Q458" i="1"/>
  <c r="O442" i="1"/>
  <c r="N442" i="1"/>
  <c r="P442" i="1"/>
  <c r="Q442" i="1"/>
  <c r="N426" i="1"/>
  <c r="O426" i="1"/>
  <c r="P426" i="1"/>
  <c r="N410" i="1"/>
  <c r="P410" i="1"/>
  <c r="O394" i="1"/>
  <c r="P394" i="1"/>
  <c r="Q394" i="1"/>
  <c r="N394" i="1"/>
  <c r="O378" i="1"/>
  <c r="P378" i="1"/>
  <c r="Q378" i="1"/>
  <c r="N378" i="1"/>
  <c r="N362" i="1"/>
  <c r="O362" i="1"/>
  <c r="Q362" i="1"/>
  <c r="O346" i="1"/>
  <c r="P346" i="1"/>
  <c r="Q346" i="1"/>
  <c r="N346" i="1"/>
  <c r="O330" i="1"/>
  <c r="P330" i="1"/>
  <c r="Q330" i="1"/>
  <c r="N330" i="1"/>
  <c r="Q314" i="1"/>
  <c r="N314" i="1"/>
  <c r="O314" i="1"/>
  <c r="O298" i="1"/>
  <c r="P298" i="1"/>
  <c r="Q298" i="1"/>
  <c r="R298" i="1" s="1"/>
  <c r="N298" i="1"/>
  <c r="O282" i="1"/>
  <c r="P282" i="1"/>
  <c r="Q282" i="1"/>
  <c r="N282" i="1"/>
  <c r="Q266" i="1"/>
  <c r="O266" i="1"/>
  <c r="P266" i="1"/>
  <c r="N266" i="1"/>
  <c r="N250" i="1"/>
  <c r="O250" i="1"/>
  <c r="Q250" i="1"/>
  <c r="O234" i="1"/>
  <c r="P234" i="1"/>
  <c r="Q234" i="1"/>
  <c r="N234" i="1"/>
  <c r="O218" i="1"/>
  <c r="P218" i="1"/>
  <c r="N218" i="1"/>
  <c r="Q218" i="1"/>
  <c r="P202" i="1"/>
  <c r="O202" i="1"/>
  <c r="Q202" i="1"/>
  <c r="N202" i="1"/>
  <c r="P186" i="1"/>
  <c r="N186" i="1"/>
  <c r="Q186" i="1"/>
  <c r="P170" i="1"/>
  <c r="O170" i="1"/>
  <c r="Q170" i="1"/>
  <c r="N170" i="1"/>
  <c r="P154" i="1"/>
  <c r="O154" i="1"/>
  <c r="Q154" i="1"/>
  <c r="N154" i="1"/>
  <c r="P138" i="1"/>
  <c r="O138" i="1"/>
  <c r="Q138" i="1"/>
  <c r="N138" i="1"/>
  <c r="O122" i="1"/>
  <c r="P122" i="1"/>
  <c r="Q122" i="1"/>
  <c r="N122" i="1"/>
  <c r="O106" i="1"/>
  <c r="P106" i="1"/>
  <c r="Q106" i="1"/>
  <c r="R106" i="1" s="1"/>
  <c r="N106" i="1"/>
  <c r="O90" i="1"/>
  <c r="P90" i="1"/>
  <c r="Q90" i="1"/>
  <c r="N90" i="1"/>
  <c r="O74" i="1"/>
  <c r="P74" i="1"/>
  <c r="Q74" i="1"/>
  <c r="N74" i="1"/>
  <c r="O58" i="1"/>
  <c r="P58" i="1"/>
  <c r="Q58" i="1"/>
  <c r="R58" i="1" s="1"/>
  <c r="O42" i="1"/>
  <c r="P42" i="1"/>
  <c r="Q42" i="1"/>
  <c r="O26" i="1"/>
  <c r="P26" i="1"/>
  <c r="Q26" i="1"/>
  <c r="Q465" i="1"/>
  <c r="R465" i="1" s="1"/>
  <c r="Q400" i="1"/>
  <c r="Q508" i="1"/>
  <c r="O508" i="1"/>
  <c r="P508" i="1"/>
  <c r="N508" i="1"/>
  <c r="Q444" i="1"/>
  <c r="P444" i="1"/>
  <c r="N444" i="1"/>
  <c r="Q396" i="1"/>
  <c r="O396" i="1"/>
  <c r="P396" i="1"/>
  <c r="N396" i="1"/>
  <c r="Q332" i="1"/>
  <c r="N332" i="1"/>
  <c r="O332" i="1"/>
  <c r="O284" i="1"/>
  <c r="P284" i="1"/>
  <c r="Q284" i="1"/>
  <c r="N284" i="1"/>
  <c r="O252" i="1"/>
  <c r="P252" i="1"/>
  <c r="Q252" i="1"/>
  <c r="N252" i="1"/>
  <c r="P220" i="1"/>
  <c r="Q220" i="1"/>
  <c r="N220" i="1"/>
  <c r="O188" i="1"/>
  <c r="P188" i="1"/>
  <c r="Q188" i="1"/>
  <c r="N188" i="1"/>
  <c r="R472" i="1"/>
  <c r="Q427" i="1"/>
  <c r="R427" i="1" s="1"/>
  <c r="N427" i="1"/>
  <c r="O427" i="1"/>
  <c r="Q203" i="1"/>
  <c r="R203" i="1" s="1"/>
  <c r="O203" i="1"/>
  <c r="P203" i="1"/>
  <c r="N203" i="1"/>
  <c r="Q457" i="1"/>
  <c r="N457" i="1"/>
  <c r="O457" i="1"/>
  <c r="P457" i="1"/>
  <c r="O265" i="1"/>
  <c r="P265" i="1"/>
  <c r="Q265" i="1"/>
  <c r="N265" i="1"/>
  <c r="O105" i="1"/>
  <c r="P105" i="1"/>
  <c r="Q105" i="1"/>
  <c r="N105" i="1"/>
  <c r="N510" i="1"/>
  <c r="N382" i="1"/>
  <c r="N254" i="1"/>
  <c r="N126" i="1"/>
  <c r="Q558" i="1"/>
  <c r="R558" i="1" s="1"/>
  <c r="O400" i="1"/>
  <c r="Q316" i="1"/>
  <c r="R316" i="1" s="1"/>
  <c r="O316" i="1"/>
  <c r="P316" i="1"/>
  <c r="N316" i="1"/>
  <c r="N491" i="1"/>
  <c r="O491" i="1"/>
  <c r="Q491" i="1"/>
  <c r="R491" i="1" s="1"/>
  <c r="Q187" i="1"/>
  <c r="R187" i="1" s="1"/>
  <c r="O187" i="1"/>
  <c r="N187" i="1"/>
  <c r="O297" i="1"/>
  <c r="P297" i="1"/>
  <c r="Q297" i="1"/>
  <c r="N297" i="1"/>
  <c r="O41" i="1"/>
  <c r="P41" i="1"/>
  <c r="Q41" i="1"/>
  <c r="N504" i="1"/>
  <c r="O504" i="1"/>
  <c r="Q504" i="1"/>
  <c r="O376" i="1"/>
  <c r="P376" i="1"/>
  <c r="Q376" i="1"/>
  <c r="N376" i="1"/>
  <c r="O232" i="1"/>
  <c r="P232" i="1"/>
  <c r="Q232" i="1"/>
  <c r="N232" i="1"/>
  <c r="O152" i="1"/>
  <c r="P152" i="1"/>
  <c r="Q152" i="1"/>
  <c r="R152" i="1" s="1"/>
  <c r="N152" i="1"/>
  <c r="O136" i="1"/>
  <c r="P136" i="1"/>
  <c r="Q136" i="1"/>
  <c r="R136" i="1" s="1"/>
  <c r="N136" i="1"/>
  <c r="O104" i="1"/>
  <c r="P104" i="1"/>
  <c r="Q104" i="1"/>
  <c r="R104" i="1" s="1"/>
  <c r="N104" i="1"/>
  <c r="O554" i="1"/>
  <c r="Q510" i="1"/>
  <c r="R510" i="1" s="1"/>
  <c r="Q390" i="1"/>
  <c r="P314" i="1"/>
  <c r="O524" i="1"/>
  <c r="P524" i="1"/>
  <c r="Q524" i="1"/>
  <c r="N524" i="1"/>
  <c r="Q380" i="1"/>
  <c r="N380" i="1"/>
  <c r="P380" i="1"/>
  <c r="O172" i="1"/>
  <c r="P172" i="1"/>
  <c r="Q172" i="1"/>
  <c r="R172" i="1" s="1"/>
  <c r="N172" i="1"/>
  <c r="R564" i="1"/>
  <c r="O539" i="1"/>
  <c r="P539" i="1"/>
  <c r="Q539" i="1"/>
  <c r="R539" i="1" s="1"/>
  <c r="N539" i="1"/>
  <c r="O411" i="1"/>
  <c r="P411" i="1"/>
  <c r="Q411" i="1"/>
  <c r="R411" i="1" s="1"/>
  <c r="N411" i="1"/>
  <c r="O283" i="1"/>
  <c r="P283" i="1"/>
  <c r="Q283" i="1"/>
  <c r="R283" i="1" s="1"/>
  <c r="N283" i="1"/>
  <c r="O171" i="1"/>
  <c r="P171" i="1"/>
  <c r="Q171" i="1"/>
  <c r="R171" i="1" s="1"/>
  <c r="N171" i="1"/>
  <c r="O43" i="1"/>
  <c r="P43" i="1"/>
  <c r="Q43" i="1"/>
  <c r="R43" i="1" s="1"/>
  <c r="N553" i="1"/>
  <c r="O553" i="1"/>
  <c r="Q553" i="1"/>
  <c r="P393" i="1"/>
  <c r="Q393" i="1"/>
  <c r="O393" i="1"/>
  <c r="N393" i="1"/>
  <c r="O217" i="1"/>
  <c r="P217" i="1"/>
  <c r="Q217" i="1"/>
  <c r="R217" i="1" s="1"/>
  <c r="N217" i="1"/>
  <c r="O57" i="1"/>
  <c r="P57" i="1"/>
  <c r="Q57" i="1"/>
  <c r="N536" i="1"/>
  <c r="O536" i="1"/>
  <c r="P536" i="1"/>
  <c r="Q536" i="1"/>
  <c r="O440" i="1"/>
  <c r="P440" i="1"/>
  <c r="Q440" i="1"/>
  <c r="N440" i="1"/>
  <c r="O280" i="1"/>
  <c r="P280" i="1"/>
  <c r="Q280" i="1"/>
  <c r="R280" i="1" s="1"/>
  <c r="N280" i="1"/>
  <c r="O120" i="1"/>
  <c r="P120" i="1"/>
  <c r="Q120" i="1"/>
  <c r="R120" i="1" s="1"/>
  <c r="N120" i="1"/>
  <c r="P519" i="1"/>
  <c r="N519" i="1"/>
  <c r="O519" i="1"/>
  <c r="Q519" i="1"/>
  <c r="P407" i="1"/>
  <c r="Q407" i="1"/>
  <c r="N407" i="1"/>
  <c r="O407" i="1"/>
  <c r="P343" i="1"/>
  <c r="Q343" i="1"/>
  <c r="N343" i="1"/>
  <c r="P311" i="1"/>
  <c r="Q311" i="1"/>
  <c r="N311" i="1"/>
  <c r="O279" i="1"/>
  <c r="P279" i="1"/>
  <c r="Q279" i="1"/>
  <c r="N279" i="1"/>
  <c r="O247" i="1"/>
  <c r="P247" i="1"/>
  <c r="Q247" i="1"/>
  <c r="N247" i="1"/>
  <c r="O215" i="1"/>
  <c r="P215" i="1"/>
  <c r="Q215" i="1"/>
  <c r="N215" i="1"/>
  <c r="O167" i="1"/>
  <c r="P167" i="1"/>
  <c r="Q167" i="1"/>
  <c r="R167" i="1" s="1"/>
  <c r="N167" i="1"/>
  <c r="O135" i="1"/>
  <c r="P135" i="1"/>
  <c r="Q135" i="1"/>
  <c r="N135" i="1"/>
  <c r="O103" i="1"/>
  <c r="P103" i="1"/>
  <c r="Q103" i="1"/>
  <c r="R103" i="1" s="1"/>
  <c r="N103" i="1"/>
  <c r="O71" i="1"/>
  <c r="P71" i="1"/>
  <c r="Q71" i="1"/>
  <c r="R71" i="1" s="1"/>
  <c r="N71" i="1"/>
  <c r="O55" i="1"/>
  <c r="P55" i="1"/>
  <c r="Q55" i="1"/>
  <c r="R55" i="1" s="1"/>
  <c r="P39" i="1"/>
  <c r="O39" i="1"/>
  <c r="Q39" i="1"/>
  <c r="O23" i="1"/>
  <c r="P23" i="1"/>
  <c r="Q23" i="1"/>
  <c r="N494" i="1"/>
  <c r="N366" i="1"/>
  <c r="N238" i="1"/>
  <c r="N110" i="1"/>
  <c r="P553" i="1"/>
  <c r="O510" i="1"/>
  <c r="P458" i="1"/>
  <c r="O311" i="1"/>
  <c r="O523" i="1"/>
  <c r="P523" i="1"/>
  <c r="Q523" i="1"/>
  <c r="R523" i="1" s="1"/>
  <c r="N523" i="1"/>
  <c r="O395" i="1"/>
  <c r="P395" i="1"/>
  <c r="Q395" i="1"/>
  <c r="R395" i="1" s="1"/>
  <c r="N395" i="1"/>
  <c r="P235" i="1"/>
  <c r="O235" i="1"/>
  <c r="Q235" i="1"/>
  <c r="R235" i="1" s="1"/>
  <c r="N235" i="1"/>
  <c r="O75" i="1"/>
  <c r="P75" i="1"/>
  <c r="Q75" i="1"/>
  <c r="R75" i="1" s="1"/>
  <c r="N75" i="1"/>
  <c r="N521" i="1"/>
  <c r="O521" i="1"/>
  <c r="Q521" i="1"/>
  <c r="R521" i="1" s="1"/>
  <c r="P425" i="1"/>
  <c r="Q425" i="1"/>
  <c r="N425" i="1"/>
  <c r="O425" i="1"/>
  <c r="O313" i="1"/>
  <c r="P313" i="1"/>
  <c r="Q313" i="1"/>
  <c r="N313" i="1"/>
  <c r="O201" i="1"/>
  <c r="P201" i="1"/>
  <c r="Q201" i="1"/>
  <c r="N201" i="1"/>
  <c r="O89" i="1"/>
  <c r="P89" i="1"/>
  <c r="Q89" i="1"/>
  <c r="N89" i="1"/>
  <c r="N520" i="1"/>
  <c r="O520" i="1"/>
  <c r="P520" i="1"/>
  <c r="Q520" i="1"/>
  <c r="R520" i="1" s="1"/>
  <c r="O392" i="1"/>
  <c r="P392" i="1"/>
  <c r="Q392" i="1"/>
  <c r="R392" i="1" s="1"/>
  <c r="N392" i="1"/>
  <c r="O264" i="1"/>
  <c r="P264" i="1"/>
  <c r="Q264" i="1"/>
  <c r="R264" i="1" s="1"/>
  <c r="N264" i="1"/>
  <c r="O168" i="1"/>
  <c r="P168" i="1"/>
  <c r="Q168" i="1"/>
  <c r="R168" i="1" s="1"/>
  <c r="N168" i="1"/>
  <c r="O72" i="1"/>
  <c r="P72" i="1"/>
  <c r="Q72" i="1"/>
  <c r="N72" i="1"/>
  <c r="P503" i="1"/>
  <c r="N503" i="1"/>
  <c r="O503" i="1"/>
  <c r="Q503" i="1"/>
  <c r="R503" i="1" s="1"/>
  <c r="P391" i="1"/>
  <c r="Q391" i="1"/>
  <c r="O391" i="1"/>
  <c r="N391" i="1"/>
  <c r="P359" i="1"/>
  <c r="Q359" i="1"/>
  <c r="R359" i="1" s="1"/>
  <c r="N359" i="1"/>
  <c r="O359" i="1"/>
  <c r="P327" i="1"/>
  <c r="Q327" i="1"/>
  <c r="O327" i="1"/>
  <c r="N327" i="1"/>
  <c r="P295" i="1"/>
  <c r="Q295" i="1"/>
  <c r="R295" i="1" s="1"/>
  <c r="O295" i="1"/>
  <c r="N295" i="1"/>
  <c r="P263" i="1"/>
  <c r="Q263" i="1"/>
  <c r="O263" i="1"/>
  <c r="N263" i="1"/>
  <c r="O231" i="1"/>
  <c r="P231" i="1"/>
  <c r="Q231" i="1"/>
  <c r="R231" i="1" s="1"/>
  <c r="N231" i="1"/>
  <c r="O199" i="1"/>
  <c r="P199" i="1"/>
  <c r="Q199" i="1"/>
  <c r="N199" i="1"/>
  <c r="O183" i="1"/>
  <c r="P183" i="1"/>
  <c r="Q183" i="1"/>
  <c r="N183" i="1"/>
  <c r="P151" i="1"/>
  <c r="Q151" i="1"/>
  <c r="R151" i="1" s="1"/>
  <c r="N151" i="1"/>
  <c r="Q119" i="1"/>
  <c r="R119" i="1" s="1"/>
  <c r="O119" i="1"/>
  <c r="P119" i="1"/>
  <c r="N119" i="1"/>
  <c r="Q87" i="1"/>
  <c r="R87" i="1" s="1"/>
  <c r="O87" i="1"/>
  <c r="P87" i="1"/>
  <c r="N87" i="1"/>
  <c r="O550" i="1"/>
  <c r="P550" i="1"/>
  <c r="Q550" i="1"/>
  <c r="N550" i="1"/>
  <c r="O534" i="1"/>
  <c r="P534" i="1"/>
  <c r="Q534" i="1"/>
  <c r="N534" i="1"/>
  <c r="O518" i="1"/>
  <c r="P518" i="1"/>
  <c r="N518" i="1"/>
  <c r="Q518" i="1"/>
  <c r="R518" i="1" s="1"/>
  <c r="N502" i="1"/>
  <c r="O502" i="1"/>
  <c r="P502" i="1"/>
  <c r="Q502" i="1"/>
  <c r="O486" i="1"/>
  <c r="P486" i="1"/>
  <c r="Q486" i="1"/>
  <c r="N486" i="1"/>
  <c r="N470" i="1"/>
  <c r="O470" i="1"/>
  <c r="P470" i="1"/>
  <c r="Q470" i="1"/>
  <c r="O454" i="1"/>
  <c r="P454" i="1"/>
  <c r="N454" i="1"/>
  <c r="Q454" i="1"/>
  <c r="R454" i="1" s="1"/>
  <c r="O438" i="1"/>
  <c r="P438" i="1"/>
  <c r="Q438" i="1"/>
  <c r="N438" i="1"/>
  <c r="O422" i="1"/>
  <c r="N422" i="1"/>
  <c r="P422" i="1"/>
  <c r="Q422" i="1"/>
  <c r="N406" i="1"/>
  <c r="O406" i="1"/>
  <c r="P406" i="1"/>
  <c r="Q406" i="1"/>
  <c r="N390" i="1"/>
  <c r="P390" i="1"/>
  <c r="O374" i="1"/>
  <c r="P374" i="1"/>
  <c r="Q374" i="1"/>
  <c r="R374" i="1" s="1"/>
  <c r="N374" i="1"/>
  <c r="N358" i="1"/>
  <c r="O358" i="1"/>
  <c r="P358" i="1"/>
  <c r="Q358" i="1"/>
  <c r="N342" i="1"/>
  <c r="O342" i="1"/>
  <c r="Q342" i="1"/>
  <c r="R342" i="1" s="1"/>
  <c r="O326" i="1"/>
  <c r="P326" i="1"/>
  <c r="Q326" i="1"/>
  <c r="N326" i="1"/>
  <c r="N310" i="1"/>
  <c r="O310" i="1"/>
  <c r="P310" i="1"/>
  <c r="Q310" i="1"/>
  <c r="R310" i="1" s="1"/>
  <c r="O294" i="1"/>
  <c r="P294" i="1"/>
  <c r="Q294" i="1"/>
  <c r="N294" i="1"/>
  <c r="O278" i="1"/>
  <c r="P278" i="1"/>
  <c r="Q278" i="1"/>
  <c r="N278" i="1"/>
  <c r="O262" i="1"/>
  <c r="P262" i="1"/>
  <c r="Q262" i="1"/>
  <c r="N262" i="1"/>
  <c r="O246" i="1"/>
  <c r="P246" i="1"/>
  <c r="Q246" i="1"/>
  <c r="R246" i="1" s="1"/>
  <c r="N246" i="1"/>
  <c r="O230" i="1"/>
  <c r="P230" i="1"/>
  <c r="Q230" i="1"/>
  <c r="N230" i="1"/>
  <c r="O214" i="1"/>
  <c r="P214" i="1"/>
  <c r="Q214" i="1"/>
  <c r="R214" i="1" s="1"/>
  <c r="N214" i="1"/>
  <c r="O198" i="1"/>
  <c r="P198" i="1"/>
  <c r="Q198" i="1"/>
  <c r="R198" i="1" s="1"/>
  <c r="N198" i="1"/>
  <c r="O182" i="1"/>
  <c r="P182" i="1"/>
  <c r="Q182" i="1"/>
  <c r="N182" i="1"/>
  <c r="O166" i="1"/>
  <c r="P166" i="1"/>
  <c r="Q166" i="1"/>
  <c r="N166" i="1"/>
  <c r="Q150" i="1"/>
  <c r="N150" i="1"/>
  <c r="P150" i="1"/>
  <c r="O134" i="1"/>
  <c r="P134" i="1"/>
  <c r="Q134" i="1"/>
  <c r="N134" i="1"/>
  <c r="O118" i="1"/>
  <c r="P118" i="1"/>
  <c r="Q118" i="1"/>
  <c r="N118" i="1"/>
  <c r="O102" i="1"/>
  <c r="P102" i="1"/>
  <c r="Q102" i="1"/>
  <c r="N102" i="1"/>
  <c r="O86" i="1"/>
  <c r="P86" i="1"/>
  <c r="Q86" i="1"/>
  <c r="N86" i="1"/>
  <c r="O70" i="1"/>
  <c r="P70" i="1"/>
  <c r="Q70" i="1"/>
  <c r="N70" i="1"/>
  <c r="P54" i="1"/>
  <c r="Q54" i="1"/>
  <c r="R54" i="1" s="1"/>
  <c r="O54" i="1"/>
  <c r="O38" i="1"/>
  <c r="P38" i="1"/>
  <c r="Q38" i="1"/>
  <c r="R38" i="1" s="1"/>
  <c r="Q22" i="1"/>
  <c r="R22" i="1" s="1"/>
  <c r="P22" i="1"/>
  <c r="O22" i="1"/>
  <c r="R10" i="1"/>
  <c r="Q548" i="1"/>
  <c r="P382" i="1"/>
  <c r="O555" i="1"/>
  <c r="P555" i="1"/>
  <c r="Q555" i="1"/>
  <c r="R555" i="1" s="1"/>
  <c r="N555" i="1"/>
  <c r="O379" i="1"/>
  <c r="N379" i="1"/>
  <c r="P379" i="1"/>
  <c r="Q379" i="1"/>
  <c r="R379" i="1" s="1"/>
  <c r="O155" i="1"/>
  <c r="P155" i="1"/>
  <c r="Q155" i="1"/>
  <c r="R155" i="1" s="1"/>
  <c r="N155" i="1"/>
  <c r="P441" i="1"/>
  <c r="Q441" i="1"/>
  <c r="O441" i="1"/>
  <c r="N441" i="1"/>
  <c r="O281" i="1"/>
  <c r="P281" i="1"/>
  <c r="Q281" i="1"/>
  <c r="R281" i="1" s="1"/>
  <c r="N281" i="1"/>
  <c r="O153" i="1"/>
  <c r="P153" i="1"/>
  <c r="Q153" i="1"/>
  <c r="R153" i="1" s="1"/>
  <c r="N153" i="1"/>
  <c r="N552" i="1"/>
  <c r="O552" i="1"/>
  <c r="P552" i="1"/>
  <c r="Q552" i="1"/>
  <c r="O424" i="1"/>
  <c r="P424" i="1"/>
  <c r="N424" i="1"/>
  <c r="Q424" i="1"/>
  <c r="O216" i="1"/>
  <c r="P216" i="1"/>
  <c r="Q216" i="1"/>
  <c r="N216" i="1"/>
  <c r="O549" i="1"/>
  <c r="P549" i="1"/>
  <c r="Q549" i="1"/>
  <c r="R549" i="1" s="1"/>
  <c r="N549" i="1"/>
  <c r="O453" i="1"/>
  <c r="P453" i="1"/>
  <c r="Q453" i="1"/>
  <c r="N453" i="1"/>
  <c r="P373" i="1"/>
  <c r="Q373" i="1"/>
  <c r="N373" i="1"/>
  <c r="O277" i="1"/>
  <c r="P277" i="1"/>
  <c r="Q277" i="1"/>
  <c r="N277" i="1"/>
  <c r="O245" i="1"/>
  <c r="P245" i="1"/>
  <c r="Q245" i="1"/>
  <c r="N245" i="1"/>
  <c r="O229" i="1"/>
  <c r="P229" i="1"/>
  <c r="Q229" i="1"/>
  <c r="R229" i="1" s="1"/>
  <c r="N229" i="1"/>
  <c r="O197" i="1"/>
  <c r="P197" i="1"/>
  <c r="Q197" i="1"/>
  <c r="N197" i="1"/>
  <c r="O133" i="1"/>
  <c r="Q133" i="1"/>
  <c r="P133" i="1"/>
  <c r="N133" i="1"/>
  <c r="O85" i="1"/>
  <c r="P85" i="1"/>
  <c r="Q85" i="1"/>
  <c r="N85" i="1"/>
  <c r="O69" i="1"/>
  <c r="P69" i="1"/>
  <c r="Q69" i="1"/>
  <c r="R69" i="1" s="1"/>
  <c r="N69" i="1"/>
  <c r="O53" i="1"/>
  <c r="P53" i="1"/>
  <c r="Q53" i="1"/>
  <c r="O37" i="1"/>
  <c r="P37" i="1"/>
  <c r="Q37" i="1"/>
  <c r="R9" i="1"/>
  <c r="N478" i="1"/>
  <c r="N350" i="1"/>
  <c r="N222" i="1"/>
  <c r="N94" i="1"/>
  <c r="P504" i="1"/>
  <c r="O380" i="1"/>
  <c r="O556" i="1"/>
  <c r="P556" i="1"/>
  <c r="Q556" i="1"/>
  <c r="N556" i="1"/>
  <c r="Q460" i="1"/>
  <c r="O460" i="1"/>
  <c r="P460" i="1"/>
  <c r="N460" i="1"/>
  <c r="Q300" i="1"/>
  <c r="R300" i="1" s="1"/>
  <c r="N300" i="1"/>
  <c r="O300" i="1"/>
  <c r="N443" i="1"/>
  <c r="O443" i="1"/>
  <c r="Q443" i="1"/>
  <c r="R443" i="1" s="1"/>
  <c r="P267" i="1"/>
  <c r="Q267" i="1"/>
  <c r="R267" i="1" s="1"/>
  <c r="O267" i="1"/>
  <c r="N267" i="1"/>
  <c r="O123" i="1"/>
  <c r="P123" i="1"/>
  <c r="Q123" i="1"/>
  <c r="R123" i="1" s="1"/>
  <c r="N123" i="1"/>
  <c r="P505" i="1"/>
  <c r="Q505" i="1"/>
  <c r="R505" i="1" s="1"/>
  <c r="N505" i="1"/>
  <c r="P345" i="1"/>
  <c r="Q345" i="1"/>
  <c r="O345" i="1"/>
  <c r="N345" i="1"/>
  <c r="O137" i="1"/>
  <c r="P137" i="1"/>
  <c r="Q137" i="1"/>
  <c r="R137" i="1" s="1"/>
  <c r="N137" i="1"/>
  <c r="O488" i="1"/>
  <c r="P488" i="1"/>
  <c r="Q488" i="1"/>
  <c r="N488" i="1"/>
  <c r="O408" i="1"/>
  <c r="P408" i="1"/>
  <c r="Q408" i="1"/>
  <c r="R408" i="1" s="1"/>
  <c r="N408" i="1"/>
  <c r="O312" i="1"/>
  <c r="P312" i="1"/>
  <c r="Q312" i="1"/>
  <c r="R312" i="1" s="1"/>
  <c r="N312" i="1"/>
  <c r="O184" i="1"/>
  <c r="P184" i="1"/>
  <c r="Q184" i="1"/>
  <c r="R184" i="1" s="1"/>
  <c r="N184" i="1"/>
  <c r="O88" i="1"/>
  <c r="P88" i="1"/>
  <c r="Q88" i="1"/>
  <c r="R88" i="1" s="1"/>
  <c r="N88" i="1"/>
  <c r="P375" i="1"/>
  <c r="Q375" i="1"/>
  <c r="O375" i="1"/>
  <c r="N375" i="1"/>
  <c r="N485" i="1"/>
  <c r="P485" i="1"/>
  <c r="N405" i="1"/>
  <c r="O405" i="1"/>
  <c r="P405" i="1"/>
  <c r="Q405" i="1"/>
  <c r="R405" i="1" s="1"/>
  <c r="N341" i="1"/>
  <c r="O341" i="1"/>
  <c r="P341" i="1"/>
  <c r="Q341" i="1"/>
  <c r="P213" i="1"/>
  <c r="Q213" i="1"/>
  <c r="N213" i="1"/>
  <c r="O213" i="1"/>
  <c r="Q516" i="1"/>
  <c r="R516" i="1" s="1"/>
  <c r="N516" i="1"/>
  <c r="O516" i="1"/>
  <c r="O404" i="1"/>
  <c r="P404" i="1"/>
  <c r="N404" i="1"/>
  <c r="Q404" i="1"/>
  <c r="O324" i="1"/>
  <c r="P324" i="1"/>
  <c r="N324" i="1"/>
  <c r="Q324" i="1"/>
  <c r="O260" i="1"/>
  <c r="P260" i="1"/>
  <c r="Q260" i="1"/>
  <c r="N260" i="1"/>
  <c r="O196" i="1"/>
  <c r="Q196" i="1"/>
  <c r="P196" i="1"/>
  <c r="N196" i="1"/>
  <c r="O164" i="1"/>
  <c r="P164" i="1"/>
  <c r="Q164" i="1"/>
  <c r="N164" i="1"/>
  <c r="O148" i="1"/>
  <c r="P148" i="1"/>
  <c r="Q148" i="1"/>
  <c r="R148" i="1" s="1"/>
  <c r="N148" i="1"/>
  <c r="O132" i="1"/>
  <c r="Q132" i="1"/>
  <c r="N132" i="1"/>
  <c r="P132" i="1"/>
  <c r="O100" i="1"/>
  <c r="Q100" i="1"/>
  <c r="N100" i="1"/>
  <c r="P100" i="1"/>
  <c r="O68" i="1"/>
  <c r="Q68" i="1"/>
  <c r="R68" i="1" s="1"/>
  <c r="P68" i="1"/>
  <c r="N68" i="1"/>
  <c r="Q20" i="1"/>
  <c r="R20" i="1" s="1"/>
  <c r="P20" i="1"/>
  <c r="O20" i="1"/>
  <c r="R8" i="1"/>
  <c r="O444" i="1"/>
  <c r="O373" i="1"/>
  <c r="O268" i="1"/>
  <c r="P268" i="1"/>
  <c r="Q268" i="1"/>
  <c r="N268" i="1"/>
  <c r="O507" i="1"/>
  <c r="P507" i="1"/>
  <c r="Q507" i="1"/>
  <c r="R507" i="1" s="1"/>
  <c r="N507" i="1"/>
  <c r="O139" i="1"/>
  <c r="P139" i="1"/>
  <c r="Q139" i="1"/>
  <c r="R139" i="1" s="1"/>
  <c r="N139" i="1"/>
  <c r="N537" i="1"/>
  <c r="O537" i="1"/>
  <c r="Q537" i="1"/>
  <c r="R537" i="1" s="1"/>
  <c r="O249" i="1"/>
  <c r="P249" i="1"/>
  <c r="Q249" i="1"/>
  <c r="N249" i="1"/>
  <c r="O328" i="1"/>
  <c r="P328" i="1"/>
  <c r="Q328" i="1"/>
  <c r="R328" i="1" s="1"/>
  <c r="N328" i="1"/>
  <c r="P455" i="1"/>
  <c r="N455" i="1"/>
  <c r="O455" i="1"/>
  <c r="Q455" i="1"/>
  <c r="R455" i="1" s="1"/>
  <c r="O437" i="1"/>
  <c r="P437" i="1"/>
  <c r="Q437" i="1"/>
  <c r="R437" i="1" s="1"/>
  <c r="N437" i="1"/>
  <c r="N309" i="1"/>
  <c r="O309" i="1"/>
  <c r="P309" i="1"/>
  <c r="Q309" i="1"/>
  <c r="O165" i="1"/>
  <c r="Q165" i="1"/>
  <c r="R165" i="1" s="1"/>
  <c r="P165" i="1"/>
  <c r="N165" i="1"/>
  <c r="P484" i="1"/>
  <c r="N484" i="1"/>
  <c r="O484" i="1"/>
  <c r="Q484" i="1"/>
  <c r="R484" i="1" s="1"/>
  <c r="O372" i="1"/>
  <c r="P372" i="1"/>
  <c r="N372" i="1"/>
  <c r="Q372" i="1"/>
  <c r="R372" i="1" s="1"/>
  <c r="O228" i="1"/>
  <c r="P228" i="1"/>
  <c r="Q228" i="1"/>
  <c r="N228" i="1"/>
  <c r="N563" i="1"/>
  <c r="O563" i="1"/>
  <c r="P563" i="1"/>
  <c r="Q563" i="1"/>
  <c r="N547" i="1"/>
  <c r="O547" i="1"/>
  <c r="P547" i="1"/>
  <c r="Q547" i="1"/>
  <c r="R547" i="1" s="1"/>
  <c r="N531" i="1"/>
  <c r="O531" i="1"/>
  <c r="P531" i="1"/>
  <c r="Q531" i="1"/>
  <c r="N515" i="1"/>
  <c r="O515" i="1"/>
  <c r="P515" i="1"/>
  <c r="P499" i="1"/>
  <c r="Q499" i="1"/>
  <c r="R499" i="1" s="1"/>
  <c r="N499" i="1"/>
  <c r="N483" i="1"/>
  <c r="O483" i="1"/>
  <c r="P483" i="1"/>
  <c r="Q483" i="1"/>
  <c r="O467" i="1"/>
  <c r="P467" i="1"/>
  <c r="N467" i="1"/>
  <c r="Q467" i="1"/>
  <c r="R467" i="1" s="1"/>
  <c r="O451" i="1"/>
  <c r="N451" i="1"/>
  <c r="Q451" i="1"/>
  <c r="R451" i="1" s="1"/>
  <c r="O435" i="1"/>
  <c r="N435" i="1"/>
  <c r="Q435" i="1"/>
  <c r="O419" i="1"/>
  <c r="Q419" i="1"/>
  <c r="N419" i="1"/>
  <c r="O403" i="1"/>
  <c r="P403" i="1"/>
  <c r="N403" i="1"/>
  <c r="Q403" i="1"/>
  <c r="O387" i="1"/>
  <c r="P387" i="1"/>
  <c r="N387" i="1"/>
  <c r="Q387" i="1"/>
  <c r="O371" i="1"/>
  <c r="P371" i="1"/>
  <c r="N371" i="1"/>
  <c r="O355" i="1"/>
  <c r="P355" i="1"/>
  <c r="Q355" i="1"/>
  <c r="N355" i="1"/>
  <c r="O339" i="1"/>
  <c r="P339" i="1"/>
  <c r="N339" i="1"/>
  <c r="Q339" i="1"/>
  <c r="O323" i="1"/>
  <c r="P323" i="1"/>
  <c r="Q323" i="1"/>
  <c r="R323" i="1" s="1"/>
  <c r="N323" i="1"/>
  <c r="O307" i="1"/>
  <c r="P307" i="1"/>
  <c r="Q307" i="1"/>
  <c r="N307" i="1"/>
  <c r="O291" i="1"/>
  <c r="P291" i="1"/>
  <c r="Q291" i="1"/>
  <c r="N291" i="1"/>
  <c r="O275" i="1"/>
  <c r="P275" i="1"/>
  <c r="Q275" i="1"/>
  <c r="R275" i="1" s="1"/>
  <c r="N275" i="1"/>
  <c r="O259" i="1"/>
  <c r="P259" i="1"/>
  <c r="Q259" i="1"/>
  <c r="R259" i="1" s="1"/>
  <c r="N259" i="1"/>
  <c r="O243" i="1"/>
  <c r="P243" i="1"/>
  <c r="Q243" i="1"/>
  <c r="R243" i="1" s="1"/>
  <c r="N243" i="1"/>
  <c r="O227" i="1"/>
  <c r="P227" i="1"/>
  <c r="Q227" i="1"/>
  <c r="R227" i="1" s="1"/>
  <c r="N227" i="1"/>
  <c r="O211" i="1"/>
  <c r="P211" i="1"/>
  <c r="Q211" i="1"/>
  <c r="R211" i="1" s="1"/>
  <c r="N211" i="1"/>
  <c r="N462" i="1"/>
  <c r="N334" i="1"/>
  <c r="N206" i="1"/>
  <c r="N78" i="1"/>
  <c r="Q542" i="1"/>
  <c r="R542" i="1" s="1"/>
  <c r="P443" i="1"/>
  <c r="Q371" i="1"/>
  <c r="O299" i="1"/>
  <c r="P299" i="1"/>
  <c r="N299" i="1"/>
  <c r="Q299" i="1"/>
  <c r="R299" i="1" s="1"/>
  <c r="O329" i="1"/>
  <c r="P329" i="1"/>
  <c r="Q329" i="1"/>
  <c r="R329" i="1" s="1"/>
  <c r="N329" i="1"/>
  <c r="O73" i="1"/>
  <c r="P73" i="1"/>
  <c r="Q73" i="1"/>
  <c r="R73" i="1" s="1"/>
  <c r="N73" i="1"/>
  <c r="O360" i="1"/>
  <c r="P360" i="1"/>
  <c r="Q360" i="1"/>
  <c r="R360" i="1" s="1"/>
  <c r="N360" i="1"/>
  <c r="O24" i="1"/>
  <c r="P24" i="1"/>
  <c r="Q24" i="1"/>
  <c r="R24" i="1" s="1"/>
  <c r="P471" i="1"/>
  <c r="N471" i="1"/>
  <c r="O471" i="1"/>
  <c r="N469" i="1"/>
  <c r="O469" i="1"/>
  <c r="P469" i="1"/>
  <c r="Q469" i="1"/>
  <c r="P325" i="1"/>
  <c r="Q325" i="1"/>
  <c r="R325" i="1" s="1"/>
  <c r="N325" i="1"/>
  <c r="O149" i="1"/>
  <c r="Q149" i="1"/>
  <c r="N149" i="1"/>
  <c r="P149" i="1"/>
  <c r="P452" i="1"/>
  <c r="Q452" i="1"/>
  <c r="R452" i="1" s="1"/>
  <c r="N452" i="1"/>
  <c r="O308" i="1"/>
  <c r="P308" i="1"/>
  <c r="N308" i="1"/>
  <c r="Q308" i="1"/>
  <c r="O116" i="1"/>
  <c r="Q116" i="1"/>
  <c r="P116" i="1"/>
  <c r="N116" i="1"/>
  <c r="N546" i="1"/>
  <c r="O546" i="1"/>
  <c r="P546" i="1"/>
  <c r="Q546" i="1"/>
  <c r="O466" i="1"/>
  <c r="Q466" i="1"/>
  <c r="P466" i="1"/>
  <c r="N466" i="1"/>
  <c r="O402" i="1"/>
  <c r="P402" i="1"/>
  <c r="Q402" i="1"/>
  <c r="R402" i="1" s="1"/>
  <c r="N402" i="1"/>
  <c r="O354" i="1"/>
  <c r="P354" i="1"/>
  <c r="Q354" i="1"/>
  <c r="R354" i="1" s="1"/>
  <c r="N354" i="1"/>
  <c r="O322" i="1"/>
  <c r="P322" i="1"/>
  <c r="Q322" i="1"/>
  <c r="R322" i="1" s="1"/>
  <c r="N322" i="1"/>
  <c r="O306" i="1"/>
  <c r="P306" i="1"/>
  <c r="Q306" i="1"/>
  <c r="N306" i="1"/>
  <c r="O290" i="1"/>
  <c r="P290" i="1"/>
  <c r="Q290" i="1"/>
  <c r="R290" i="1" s="1"/>
  <c r="N290" i="1"/>
  <c r="Q258" i="1"/>
  <c r="O258" i="1"/>
  <c r="N258" i="1"/>
  <c r="P258" i="1"/>
  <c r="Q242" i="1"/>
  <c r="P242" i="1"/>
  <c r="N242" i="1"/>
  <c r="O242" i="1"/>
  <c r="Q226" i="1"/>
  <c r="O226" i="1"/>
  <c r="N226" i="1"/>
  <c r="P226" i="1"/>
  <c r="Q210" i="1"/>
  <c r="R210" i="1" s="1"/>
  <c r="N210" i="1"/>
  <c r="O210" i="1"/>
  <c r="P210" i="1"/>
  <c r="Q194" i="1"/>
  <c r="P194" i="1"/>
  <c r="N194" i="1"/>
  <c r="O194" i="1"/>
  <c r="Q178" i="1"/>
  <c r="P178" i="1"/>
  <c r="N178" i="1"/>
  <c r="O178" i="1"/>
  <c r="Q162" i="1"/>
  <c r="O162" i="1"/>
  <c r="P162" i="1"/>
  <c r="N162" i="1"/>
  <c r="Q146" i="1"/>
  <c r="R146" i="1" s="1"/>
  <c r="O146" i="1"/>
  <c r="P146" i="1"/>
  <c r="N146" i="1"/>
  <c r="Q130" i="1"/>
  <c r="P130" i="1"/>
  <c r="N130" i="1"/>
  <c r="O130" i="1"/>
  <c r="Q114" i="1"/>
  <c r="O114" i="1"/>
  <c r="P114" i="1"/>
  <c r="N114" i="1"/>
  <c r="Q98" i="1"/>
  <c r="P98" i="1"/>
  <c r="N98" i="1"/>
  <c r="O98" i="1"/>
  <c r="Q82" i="1"/>
  <c r="R82" i="1" s="1"/>
  <c r="O82" i="1"/>
  <c r="P82" i="1"/>
  <c r="N82" i="1"/>
  <c r="Q66" i="1"/>
  <c r="O66" i="1"/>
  <c r="P66" i="1"/>
  <c r="N66" i="1"/>
  <c r="Q50" i="1"/>
  <c r="O50" i="1"/>
  <c r="P50" i="1"/>
  <c r="Q34" i="1"/>
  <c r="O34" i="1"/>
  <c r="P34" i="1"/>
  <c r="Q18" i="1"/>
  <c r="R19" i="1" s="1"/>
  <c r="P18" i="1"/>
  <c r="O18" i="1"/>
  <c r="O538" i="1"/>
  <c r="O492" i="1"/>
  <c r="O363" i="1"/>
  <c r="O540" i="1"/>
  <c r="P540" i="1"/>
  <c r="Q540" i="1"/>
  <c r="R540" i="1" s="1"/>
  <c r="N540" i="1"/>
  <c r="Q476" i="1"/>
  <c r="O476" i="1"/>
  <c r="P476" i="1"/>
  <c r="N476" i="1"/>
  <c r="Q412" i="1"/>
  <c r="R412" i="1" s="1"/>
  <c r="O412" i="1"/>
  <c r="P412" i="1"/>
  <c r="N412" i="1"/>
  <c r="Q348" i="1"/>
  <c r="O348" i="1"/>
  <c r="P348" i="1"/>
  <c r="N348" i="1"/>
  <c r="O236" i="1"/>
  <c r="P236" i="1"/>
  <c r="Q236" i="1"/>
  <c r="R236" i="1" s="1"/>
  <c r="N236" i="1"/>
  <c r="O475" i="1"/>
  <c r="P475" i="1"/>
  <c r="Q475" i="1"/>
  <c r="R475" i="1" s="1"/>
  <c r="N475" i="1"/>
  <c r="O331" i="1"/>
  <c r="P331" i="1"/>
  <c r="N331" i="1"/>
  <c r="Q331" i="1"/>
  <c r="R331" i="1" s="1"/>
  <c r="Q219" i="1"/>
  <c r="R219" i="1" s="1"/>
  <c r="N219" i="1"/>
  <c r="P219" i="1"/>
  <c r="O91" i="1"/>
  <c r="P91" i="1"/>
  <c r="Q91" i="1"/>
  <c r="R91" i="1" s="1"/>
  <c r="N91" i="1"/>
  <c r="Q489" i="1"/>
  <c r="R489" i="1" s="1"/>
  <c r="O489" i="1"/>
  <c r="P489" i="1"/>
  <c r="N489" i="1"/>
  <c r="P361" i="1"/>
  <c r="Q361" i="1"/>
  <c r="N361" i="1"/>
  <c r="O361" i="1"/>
  <c r="O185" i="1"/>
  <c r="P185" i="1"/>
  <c r="N185" i="1"/>
  <c r="Q185" i="1"/>
  <c r="R185" i="1" s="1"/>
  <c r="O25" i="1"/>
  <c r="P25" i="1"/>
  <c r="Q25" i="1"/>
  <c r="R25" i="1" s="1"/>
  <c r="O456" i="1"/>
  <c r="P456" i="1"/>
  <c r="N456" i="1"/>
  <c r="Q456" i="1"/>
  <c r="O248" i="1"/>
  <c r="P248" i="1"/>
  <c r="Q248" i="1"/>
  <c r="R248" i="1" s="1"/>
  <c r="N248" i="1"/>
  <c r="O40" i="1"/>
  <c r="P40" i="1"/>
  <c r="Q40" i="1"/>
  <c r="R40" i="1" s="1"/>
  <c r="O551" i="1"/>
  <c r="N551" i="1"/>
  <c r="P551" i="1"/>
  <c r="Q551" i="1"/>
  <c r="R551" i="1" s="1"/>
  <c r="P439" i="1"/>
  <c r="Q439" i="1"/>
  <c r="R439" i="1" s="1"/>
  <c r="O439" i="1"/>
  <c r="N439" i="1"/>
  <c r="O517" i="1"/>
  <c r="P517" i="1"/>
  <c r="Q517" i="1"/>
  <c r="N517" i="1"/>
  <c r="N389" i="1"/>
  <c r="O389" i="1"/>
  <c r="P389" i="1"/>
  <c r="Q389" i="1"/>
  <c r="O261" i="1"/>
  <c r="P261" i="1"/>
  <c r="Q261" i="1"/>
  <c r="R261" i="1" s="1"/>
  <c r="N261" i="1"/>
  <c r="O101" i="1"/>
  <c r="Q101" i="1"/>
  <c r="R101" i="1" s="1"/>
  <c r="P101" i="1"/>
  <c r="N101" i="1"/>
  <c r="N548" i="1"/>
  <c r="P548" i="1"/>
  <c r="P468" i="1"/>
  <c r="N468" i="1"/>
  <c r="O468" i="1"/>
  <c r="Q468" i="1"/>
  <c r="O420" i="1"/>
  <c r="P420" i="1"/>
  <c r="Q420" i="1"/>
  <c r="R420" i="1" s="1"/>
  <c r="N420" i="1"/>
  <c r="O356" i="1"/>
  <c r="P356" i="1"/>
  <c r="Q356" i="1"/>
  <c r="R356" i="1" s="1"/>
  <c r="N356" i="1"/>
  <c r="O292" i="1"/>
  <c r="P292" i="1"/>
  <c r="N292" i="1"/>
  <c r="Q292" i="1"/>
  <c r="R292" i="1" s="1"/>
  <c r="O212" i="1"/>
  <c r="Q212" i="1"/>
  <c r="N212" i="1"/>
  <c r="P212" i="1"/>
  <c r="O84" i="1"/>
  <c r="Q84" i="1"/>
  <c r="P84" i="1"/>
  <c r="N84" i="1"/>
  <c r="N562" i="1"/>
  <c r="O562" i="1"/>
  <c r="P562" i="1"/>
  <c r="Q562" i="1"/>
  <c r="R562" i="1" s="1"/>
  <c r="O514" i="1"/>
  <c r="N514" i="1"/>
  <c r="P514" i="1"/>
  <c r="Q514" i="1"/>
  <c r="O482" i="1"/>
  <c r="Q482" i="1"/>
  <c r="N482" i="1"/>
  <c r="P482" i="1"/>
  <c r="O450" i="1"/>
  <c r="Q450" i="1"/>
  <c r="N450" i="1"/>
  <c r="P450" i="1"/>
  <c r="O418" i="1"/>
  <c r="P418" i="1"/>
  <c r="Q418" i="1"/>
  <c r="R418" i="1" s="1"/>
  <c r="N418" i="1"/>
  <c r="O386" i="1"/>
  <c r="P386" i="1"/>
  <c r="Q386" i="1"/>
  <c r="N386" i="1"/>
  <c r="O370" i="1"/>
  <c r="P370" i="1"/>
  <c r="Q370" i="1"/>
  <c r="N370" i="1"/>
  <c r="O338" i="1"/>
  <c r="P338" i="1"/>
  <c r="Q338" i="1"/>
  <c r="N338" i="1"/>
  <c r="Q274" i="1"/>
  <c r="R274" i="1" s="1"/>
  <c r="P274" i="1"/>
  <c r="N274" i="1"/>
  <c r="N561" i="1"/>
  <c r="O561" i="1"/>
  <c r="P561" i="1"/>
  <c r="Q561" i="1"/>
  <c r="N545" i="1"/>
  <c r="O545" i="1"/>
  <c r="P545" i="1"/>
  <c r="Q545" i="1"/>
  <c r="N529" i="1"/>
  <c r="O529" i="1"/>
  <c r="P529" i="1"/>
  <c r="Q529" i="1"/>
  <c r="N513" i="1"/>
  <c r="O513" i="1"/>
  <c r="P513" i="1"/>
  <c r="Q513" i="1"/>
  <c r="N497" i="1"/>
  <c r="O497" i="1"/>
  <c r="P497" i="1"/>
  <c r="N481" i="1"/>
  <c r="O481" i="1"/>
  <c r="P481" i="1"/>
  <c r="Q481" i="1"/>
  <c r="N465" i="1"/>
  <c r="P465" i="1"/>
  <c r="N449" i="1"/>
  <c r="O449" i="1"/>
  <c r="P449" i="1"/>
  <c r="Q449" i="1"/>
  <c r="R449" i="1" s="1"/>
  <c r="N433" i="1"/>
  <c r="O433" i="1"/>
  <c r="P433" i="1"/>
  <c r="Q433" i="1"/>
  <c r="R433" i="1" s="1"/>
  <c r="N417" i="1"/>
  <c r="O417" i="1"/>
  <c r="Q417" i="1"/>
  <c r="O401" i="1"/>
  <c r="N401" i="1"/>
  <c r="P401" i="1"/>
  <c r="Q401" i="1"/>
  <c r="R401" i="1" s="1"/>
  <c r="N385" i="1"/>
  <c r="O385" i="1"/>
  <c r="P385" i="1"/>
  <c r="Q385" i="1"/>
  <c r="R385" i="1" s="1"/>
  <c r="N369" i="1"/>
  <c r="O369" i="1"/>
  <c r="P369" i="1"/>
  <c r="Q369" i="1"/>
  <c r="R369" i="1" s="1"/>
  <c r="P353" i="1"/>
  <c r="N353" i="1"/>
  <c r="Q353" i="1"/>
  <c r="N337" i="1"/>
  <c r="O337" i="1"/>
  <c r="P337" i="1"/>
  <c r="Q337" i="1"/>
  <c r="N321" i="1"/>
  <c r="O321" i="1"/>
  <c r="P321" i="1"/>
  <c r="N305" i="1"/>
  <c r="O305" i="1"/>
  <c r="P305" i="1"/>
  <c r="Q305" i="1"/>
  <c r="N289" i="1"/>
  <c r="O289" i="1"/>
  <c r="P289" i="1"/>
  <c r="N273" i="1"/>
  <c r="O273" i="1"/>
  <c r="Q273" i="1"/>
  <c r="O257" i="1"/>
  <c r="N257" i="1"/>
  <c r="P257" i="1"/>
  <c r="Q257" i="1"/>
  <c r="O241" i="1"/>
  <c r="N241" i="1"/>
  <c r="P241" i="1"/>
  <c r="Q241" i="1"/>
  <c r="O225" i="1"/>
  <c r="P225" i="1"/>
  <c r="Q225" i="1"/>
  <c r="N225" i="1"/>
  <c r="O209" i="1"/>
  <c r="P209" i="1"/>
  <c r="Q209" i="1"/>
  <c r="N209" i="1"/>
  <c r="O193" i="1"/>
  <c r="P193" i="1"/>
  <c r="N193" i="1"/>
  <c r="Q193" i="1"/>
  <c r="R193" i="1" s="1"/>
  <c r="Q177" i="1"/>
  <c r="R177" i="1" s="1"/>
  <c r="N177" i="1"/>
  <c r="O177" i="1"/>
  <c r="P177" i="1"/>
  <c r="P161" i="1"/>
  <c r="Q161" i="1"/>
  <c r="N161" i="1"/>
  <c r="O161" i="1"/>
  <c r="O145" i="1"/>
  <c r="P145" i="1"/>
  <c r="Q145" i="1"/>
  <c r="N145" i="1"/>
  <c r="O129" i="1"/>
  <c r="N129" i="1"/>
  <c r="P129" i="1"/>
  <c r="Q129" i="1"/>
  <c r="O113" i="1"/>
  <c r="P113" i="1"/>
  <c r="Q113" i="1"/>
  <c r="N113" i="1"/>
  <c r="O97" i="1"/>
  <c r="N97" i="1"/>
  <c r="P97" i="1"/>
  <c r="Q97" i="1"/>
  <c r="R97" i="1" s="1"/>
  <c r="O81" i="1"/>
  <c r="P81" i="1"/>
  <c r="Q81" i="1"/>
  <c r="N81" i="1"/>
  <c r="Q65" i="1"/>
  <c r="R65" i="1" s="1"/>
  <c r="O65" i="1"/>
  <c r="N65" i="1"/>
  <c r="O49" i="1"/>
  <c r="P49" i="1"/>
  <c r="Q49" i="1"/>
  <c r="O33" i="1"/>
  <c r="P33" i="1"/>
  <c r="Q33" i="1"/>
  <c r="Q17" i="1"/>
  <c r="R17" i="1" s="1"/>
  <c r="P17" i="1"/>
  <c r="O17" i="1"/>
  <c r="N446" i="1"/>
  <c r="N318" i="1"/>
  <c r="N190" i="1"/>
  <c r="O21" i="1"/>
  <c r="P537" i="1"/>
  <c r="P491" i="1"/>
  <c r="P435" i="1"/>
  <c r="P362" i="1"/>
  <c r="P273" i="1"/>
  <c r="O347" i="1"/>
  <c r="P347" i="1"/>
  <c r="Q347" i="1"/>
  <c r="R347" i="1" s="1"/>
  <c r="N347" i="1"/>
  <c r="O27" i="1"/>
  <c r="P27" i="1"/>
  <c r="Q27" i="1"/>
  <c r="R27" i="1" s="1"/>
  <c r="P409" i="1"/>
  <c r="Q409" i="1"/>
  <c r="R409" i="1" s="1"/>
  <c r="N409" i="1"/>
  <c r="O409" i="1"/>
  <c r="O169" i="1"/>
  <c r="P169" i="1"/>
  <c r="Q169" i="1"/>
  <c r="R169" i="1" s="1"/>
  <c r="N169" i="1"/>
  <c r="O296" i="1"/>
  <c r="P296" i="1"/>
  <c r="Q296" i="1"/>
  <c r="R296" i="1" s="1"/>
  <c r="N296" i="1"/>
  <c r="P487" i="1"/>
  <c r="O487" i="1"/>
  <c r="Q487" i="1"/>
  <c r="R487" i="1" s="1"/>
  <c r="N487" i="1"/>
  <c r="O501" i="1"/>
  <c r="N501" i="1"/>
  <c r="P501" i="1"/>
  <c r="Q501" i="1"/>
  <c r="O357" i="1"/>
  <c r="N357" i="1"/>
  <c r="P357" i="1"/>
  <c r="Q357" i="1"/>
  <c r="O181" i="1"/>
  <c r="P181" i="1"/>
  <c r="Q181" i="1"/>
  <c r="N181" i="1"/>
  <c r="N532" i="1"/>
  <c r="P532" i="1"/>
  <c r="O388" i="1"/>
  <c r="P388" i="1"/>
  <c r="N388" i="1"/>
  <c r="Q388" i="1"/>
  <c r="R388" i="1" s="1"/>
  <c r="O244" i="1"/>
  <c r="Q244" i="1"/>
  <c r="N244" i="1"/>
  <c r="P244" i="1"/>
  <c r="O52" i="1"/>
  <c r="Q52" i="1"/>
  <c r="R52" i="1" s="1"/>
  <c r="P52" i="1"/>
  <c r="O498" i="1"/>
  <c r="Q498" i="1"/>
  <c r="R498" i="1" s="1"/>
  <c r="N498" i="1"/>
  <c r="P498" i="1"/>
  <c r="O544" i="1"/>
  <c r="P544" i="1"/>
  <c r="Q544" i="1"/>
  <c r="R544" i="1" s="1"/>
  <c r="O464" i="1"/>
  <c r="P464" i="1"/>
  <c r="Q464" i="1"/>
  <c r="O368" i="1"/>
  <c r="P368" i="1"/>
  <c r="Q368" i="1"/>
  <c r="O352" i="1"/>
  <c r="Q352" i="1"/>
  <c r="O320" i="1"/>
  <c r="P320" i="1"/>
  <c r="Q320" i="1"/>
  <c r="O304" i="1"/>
  <c r="P304" i="1"/>
  <c r="Q304" i="1"/>
  <c r="R304" i="1" s="1"/>
  <c r="O288" i="1"/>
  <c r="P288" i="1"/>
  <c r="Q288" i="1"/>
  <c r="R288" i="1" s="1"/>
  <c r="O272" i="1"/>
  <c r="P272" i="1"/>
  <c r="Q272" i="1"/>
  <c r="O256" i="1"/>
  <c r="P256" i="1"/>
  <c r="Q256" i="1"/>
  <c r="O240" i="1"/>
  <c r="P240" i="1"/>
  <c r="Q240" i="1"/>
  <c r="R240" i="1" s="1"/>
  <c r="O224" i="1"/>
  <c r="P224" i="1"/>
  <c r="Q224" i="1"/>
  <c r="R224" i="1" s="1"/>
  <c r="O208" i="1"/>
  <c r="P208" i="1"/>
  <c r="Q208" i="1"/>
  <c r="R208" i="1" s="1"/>
  <c r="O192" i="1"/>
  <c r="P192" i="1"/>
  <c r="Q192" i="1"/>
  <c r="O176" i="1"/>
  <c r="P176" i="1"/>
  <c r="Q176" i="1"/>
  <c r="P160" i="1"/>
  <c r="Q160" i="1"/>
  <c r="R160" i="1" s="1"/>
  <c r="O160" i="1"/>
  <c r="P144" i="1"/>
  <c r="O144" i="1"/>
  <c r="Q144" i="1"/>
  <c r="P128" i="1"/>
  <c r="O128" i="1"/>
  <c r="Q128" i="1"/>
  <c r="P112" i="1"/>
  <c r="O112" i="1"/>
  <c r="Q112" i="1"/>
  <c r="R112" i="1" s="1"/>
  <c r="P96" i="1"/>
  <c r="O96" i="1"/>
  <c r="Q96" i="1"/>
  <c r="R96" i="1" s="1"/>
  <c r="O80" i="1"/>
  <c r="P80" i="1"/>
  <c r="Q80" i="1"/>
  <c r="O64" i="1"/>
  <c r="P64" i="1"/>
  <c r="N64" i="1"/>
  <c r="Q64" i="1"/>
  <c r="O48" i="1"/>
  <c r="P48" i="1"/>
  <c r="Q48" i="1"/>
  <c r="O32" i="1"/>
  <c r="P32" i="1"/>
  <c r="Q32" i="1"/>
  <c r="R32" i="1" s="1"/>
  <c r="Q16" i="1"/>
  <c r="P16" i="1"/>
  <c r="O16" i="1"/>
  <c r="N304" i="1"/>
  <c r="N176" i="1"/>
  <c r="Q532" i="1"/>
  <c r="R532" i="1" s="1"/>
  <c r="Q485" i="1"/>
  <c r="R485" i="1" s="1"/>
  <c r="P427" i="1"/>
  <c r="O353" i="1"/>
  <c r="P459" i="1"/>
  <c r="Q459" i="1"/>
  <c r="R459" i="1" s="1"/>
  <c r="N459" i="1"/>
  <c r="Q251" i="1"/>
  <c r="R251" i="1" s="1"/>
  <c r="O251" i="1"/>
  <c r="N251" i="1"/>
  <c r="O59" i="1"/>
  <c r="P59" i="1"/>
  <c r="Q59" i="1"/>
  <c r="R59" i="1" s="1"/>
  <c r="Q473" i="1"/>
  <c r="R473" i="1" s="1"/>
  <c r="O473" i="1"/>
  <c r="P473" i="1"/>
  <c r="N473" i="1"/>
  <c r="P377" i="1"/>
  <c r="Q377" i="1"/>
  <c r="R377" i="1" s="1"/>
  <c r="O377" i="1"/>
  <c r="N377" i="1"/>
  <c r="O233" i="1"/>
  <c r="P233" i="1"/>
  <c r="Q233" i="1"/>
  <c r="R233" i="1" s="1"/>
  <c r="N233" i="1"/>
  <c r="O121" i="1"/>
  <c r="P121" i="1"/>
  <c r="Q121" i="1"/>
  <c r="N121" i="1"/>
  <c r="O472" i="1"/>
  <c r="N472" i="1"/>
  <c r="P472" i="1"/>
  <c r="O344" i="1"/>
  <c r="P344" i="1"/>
  <c r="Q344" i="1"/>
  <c r="R344" i="1" s="1"/>
  <c r="N344" i="1"/>
  <c r="O200" i="1"/>
  <c r="P200" i="1"/>
  <c r="Q200" i="1"/>
  <c r="R200" i="1" s="1"/>
  <c r="N200" i="1"/>
  <c r="O56" i="1"/>
  <c r="P56" i="1"/>
  <c r="Q56" i="1"/>
  <c r="R56" i="1" s="1"/>
  <c r="O535" i="1"/>
  <c r="N535" i="1"/>
  <c r="P535" i="1"/>
  <c r="Q535" i="1"/>
  <c r="R535" i="1" s="1"/>
  <c r="P423" i="1"/>
  <c r="Q423" i="1"/>
  <c r="R423" i="1" s="1"/>
  <c r="N423" i="1"/>
  <c r="O423" i="1"/>
  <c r="O533" i="1"/>
  <c r="P533" i="1"/>
  <c r="Q533" i="1"/>
  <c r="R533" i="1" s="1"/>
  <c r="N533" i="1"/>
  <c r="O421" i="1"/>
  <c r="P421" i="1"/>
  <c r="Q421" i="1"/>
  <c r="R421" i="1" s="1"/>
  <c r="N421" i="1"/>
  <c r="P293" i="1"/>
  <c r="Q293" i="1"/>
  <c r="N293" i="1"/>
  <c r="O117" i="1"/>
  <c r="Q117" i="1"/>
  <c r="R117" i="1" s="1"/>
  <c r="P117" i="1"/>
  <c r="N117" i="1"/>
  <c r="N564" i="1"/>
  <c r="P564" i="1"/>
  <c r="P500" i="1"/>
  <c r="O500" i="1"/>
  <c r="Q500" i="1"/>
  <c r="R500" i="1" s="1"/>
  <c r="N500" i="1"/>
  <c r="O436" i="1"/>
  <c r="P436" i="1"/>
  <c r="N436" i="1"/>
  <c r="O340" i="1"/>
  <c r="P340" i="1"/>
  <c r="N340" i="1"/>
  <c r="Q340" i="1"/>
  <c r="R340" i="1" s="1"/>
  <c r="O276" i="1"/>
  <c r="P276" i="1"/>
  <c r="Q276" i="1"/>
  <c r="R276" i="1" s="1"/>
  <c r="N276" i="1"/>
  <c r="O180" i="1"/>
  <c r="P180" i="1"/>
  <c r="Q180" i="1"/>
  <c r="R180" i="1" s="1"/>
  <c r="N180" i="1"/>
  <c r="O36" i="1"/>
  <c r="Q36" i="1"/>
  <c r="R36" i="1" s="1"/>
  <c r="P36" i="1"/>
  <c r="N530" i="1"/>
  <c r="O530" i="1"/>
  <c r="P530" i="1"/>
  <c r="Q530" i="1"/>
  <c r="R530" i="1" s="1"/>
  <c r="O434" i="1"/>
  <c r="P434" i="1"/>
  <c r="Q434" i="1"/>
  <c r="N434" i="1"/>
  <c r="O560" i="1"/>
  <c r="P560" i="1"/>
  <c r="Q560" i="1"/>
  <c r="O528" i="1"/>
  <c r="P528" i="1"/>
  <c r="Q528" i="1"/>
  <c r="R528" i="1" s="1"/>
  <c r="O512" i="1"/>
  <c r="P512" i="1"/>
  <c r="Q512" i="1"/>
  <c r="R512" i="1" s="1"/>
  <c r="O496" i="1"/>
  <c r="P496" i="1"/>
  <c r="Q496" i="1"/>
  <c r="R496" i="1" s="1"/>
  <c r="O480" i="1"/>
  <c r="P480" i="1"/>
  <c r="Q480" i="1"/>
  <c r="R480" i="1" s="1"/>
  <c r="O448" i="1"/>
  <c r="P448" i="1"/>
  <c r="Q448" i="1"/>
  <c r="O432" i="1"/>
  <c r="P432" i="1"/>
  <c r="Q432" i="1"/>
  <c r="R432" i="1" s="1"/>
  <c r="O416" i="1"/>
  <c r="P416" i="1"/>
  <c r="Q416" i="1"/>
  <c r="R416" i="1" s="1"/>
  <c r="O384" i="1"/>
  <c r="P384" i="1"/>
  <c r="Q384" i="1"/>
  <c r="O336" i="1"/>
  <c r="P336" i="1"/>
  <c r="Q336" i="1"/>
  <c r="Q559" i="1"/>
  <c r="R559" i="1" s="1"/>
  <c r="O559" i="1"/>
  <c r="N559" i="1"/>
  <c r="Q543" i="1"/>
  <c r="R543" i="1" s="1"/>
  <c r="O543" i="1"/>
  <c r="N543" i="1"/>
  <c r="Q527" i="1"/>
  <c r="R527" i="1" s="1"/>
  <c r="O527" i="1"/>
  <c r="N527" i="1"/>
  <c r="O511" i="1"/>
  <c r="P511" i="1"/>
  <c r="Q511" i="1"/>
  <c r="R511" i="1" s="1"/>
  <c r="N511" i="1"/>
  <c r="O495" i="1"/>
  <c r="P495" i="1"/>
  <c r="Q495" i="1"/>
  <c r="R495" i="1" s="1"/>
  <c r="N495" i="1"/>
  <c r="O479" i="1"/>
  <c r="Q479" i="1"/>
  <c r="R479" i="1" s="1"/>
  <c r="N479" i="1"/>
  <c r="O463" i="1"/>
  <c r="P463" i="1"/>
  <c r="Q463" i="1"/>
  <c r="R463" i="1" s="1"/>
  <c r="N463" i="1"/>
  <c r="O447" i="1"/>
  <c r="P447" i="1"/>
  <c r="Q447" i="1"/>
  <c r="R447" i="1" s="1"/>
  <c r="N447" i="1"/>
  <c r="O431" i="1"/>
  <c r="P431" i="1"/>
  <c r="Q431" i="1"/>
  <c r="R431" i="1" s="1"/>
  <c r="N431" i="1"/>
  <c r="O415" i="1"/>
  <c r="P415" i="1"/>
  <c r="Q415" i="1"/>
  <c r="R415" i="1" s="1"/>
  <c r="N415" i="1"/>
  <c r="O399" i="1"/>
  <c r="P399" i="1"/>
  <c r="Q399" i="1"/>
  <c r="R399" i="1" s="1"/>
  <c r="N399" i="1"/>
  <c r="O383" i="1"/>
  <c r="P383" i="1"/>
  <c r="Q383" i="1"/>
  <c r="R383" i="1" s="1"/>
  <c r="N383" i="1"/>
  <c r="O367" i="1"/>
  <c r="P367" i="1"/>
  <c r="Q367" i="1"/>
  <c r="R367" i="1" s="1"/>
  <c r="N367" i="1"/>
  <c r="O351" i="1"/>
  <c r="P351" i="1"/>
  <c r="Q351" i="1"/>
  <c r="R351" i="1" s="1"/>
  <c r="N351" i="1"/>
  <c r="O335" i="1"/>
  <c r="Q335" i="1"/>
  <c r="R335" i="1" s="1"/>
  <c r="N335" i="1"/>
  <c r="O319" i="1"/>
  <c r="P319" i="1"/>
  <c r="Q319" i="1"/>
  <c r="R319" i="1" s="1"/>
  <c r="N319" i="1"/>
  <c r="O303" i="1"/>
  <c r="P303" i="1"/>
  <c r="N303" i="1"/>
  <c r="O287" i="1"/>
  <c r="Q287" i="1"/>
  <c r="R287" i="1" s="1"/>
  <c r="P287" i="1"/>
  <c r="N287" i="1"/>
  <c r="O271" i="1"/>
  <c r="P271" i="1"/>
  <c r="Q271" i="1"/>
  <c r="R271" i="1" s="1"/>
  <c r="N271" i="1"/>
  <c r="O255" i="1"/>
  <c r="P255" i="1"/>
  <c r="Q255" i="1"/>
  <c r="R255" i="1" s="1"/>
  <c r="N255" i="1"/>
  <c r="O239" i="1"/>
  <c r="P239" i="1"/>
  <c r="Q239" i="1"/>
  <c r="R239" i="1" s="1"/>
  <c r="N239" i="1"/>
  <c r="O223" i="1"/>
  <c r="P223" i="1"/>
  <c r="Q223" i="1"/>
  <c r="N223" i="1"/>
  <c r="Q207" i="1"/>
  <c r="R207" i="1" s="1"/>
  <c r="O207" i="1"/>
  <c r="P207" i="1"/>
  <c r="N207" i="1"/>
  <c r="Q191" i="1"/>
  <c r="R191" i="1" s="1"/>
  <c r="O191" i="1"/>
  <c r="P191" i="1"/>
  <c r="N191" i="1"/>
  <c r="Q175" i="1"/>
  <c r="R175" i="1" s="1"/>
  <c r="O175" i="1"/>
  <c r="P175" i="1"/>
  <c r="N175" i="1"/>
  <c r="Q159" i="1"/>
  <c r="R159" i="1" s="1"/>
  <c r="O159" i="1"/>
  <c r="P159" i="1"/>
  <c r="N159" i="1"/>
  <c r="Q143" i="1"/>
  <c r="R143" i="1" s="1"/>
  <c r="O143" i="1"/>
  <c r="P143" i="1"/>
  <c r="N143" i="1"/>
  <c r="P127" i="1"/>
  <c r="Q127" i="1"/>
  <c r="R127" i="1" s="1"/>
  <c r="O127" i="1"/>
  <c r="N127" i="1"/>
  <c r="P111" i="1"/>
  <c r="Q111" i="1"/>
  <c r="R111" i="1" s="1"/>
  <c r="N111" i="1"/>
  <c r="P95" i="1"/>
  <c r="Q95" i="1"/>
  <c r="R95" i="1" s="1"/>
  <c r="O95" i="1"/>
  <c r="N95" i="1"/>
  <c r="P79" i="1"/>
  <c r="Q79" i="1"/>
  <c r="R79" i="1" s="1"/>
  <c r="O79" i="1"/>
  <c r="N79" i="1"/>
  <c r="P63" i="1"/>
  <c r="Q63" i="1"/>
  <c r="R63" i="1" s="1"/>
  <c r="P47" i="1"/>
  <c r="Q47" i="1"/>
  <c r="R47" i="1" s="1"/>
  <c r="O47" i="1"/>
  <c r="P31" i="1"/>
  <c r="Q31" i="1"/>
  <c r="R31" i="1" s="1"/>
  <c r="O31" i="1"/>
  <c r="Q15" i="1"/>
  <c r="R15" i="1" s="1"/>
  <c r="P15" i="1"/>
  <c r="O15" i="1"/>
  <c r="N558" i="1"/>
  <c r="N430" i="1"/>
  <c r="N302" i="1"/>
  <c r="N174" i="1"/>
  <c r="O532" i="1"/>
  <c r="O485" i="1"/>
  <c r="Q426" i="1"/>
  <c r="R426" i="1" s="1"/>
  <c r="P352" i="1"/>
  <c r="P250" i="1"/>
  <c r="Q108" i="1"/>
  <c r="R108" i="1" s="1"/>
  <c r="O108" i="1"/>
  <c r="N140" i="1"/>
  <c r="N76" i="1"/>
  <c r="O19" i="1"/>
  <c r="P19" i="1"/>
  <c r="P140" i="1"/>
  <c r="O140" i="1"/>
  <c r="O195" i="1"/>
  <c r="P195" i="1"/>
  <c r="Q195" i="1"/>
  <c r="R195" i="1" s="1"/>
  <c r="O179" i="1"/>
  <c r="P179" i="1"/>
  <c r="Q179" i="1"/>
  <c r="R179" i="1" s="1"/>
  <c r="O163" i="1"/>
  <c r="P163" i="1"/>
  <c r="Q163" i="1"/>
  <c r="R163" i="1" s="1"/>
  <c r="O147" i="1"/>
  <c r="P147" i="1"/>
  <c r="Q147" i="1"/>
  <c r="R147" i="1" s="1"/>
  <c r="O131" i="1"/>
  <c r="P131" i="1"/>
  <c r="Q131" i="1"/>
  <c r="R131" i="1" s="1"/>
  <c r="O115" i="1"/>
  <c r="P115" i="1"/>
  <c r="Q115" i="1"/>
  <c r="R115" i="1" s="1"/>
  <c r="O99" i="1"/>
  <c r="P99" i="1"/>
  <c r="Q99" i="1"/>
  <c r="R99" i="1" s="1"/>
  <c r="O83" i="1"/>
  <c r="P83" i="1"/>
  <c r="Q83" i="1"/>
  <c r="R83" i="1" s="1"/>
  <c r="O67" i="1"/>
  <c r="P67" i="1"/>
  <c r="Q67" i="1"/>
  <c r="O51" i="1"/>
  <c r="P51" i="1"/>
  <c r="Q51" i="1"/>
  <c r="R51" i="1" s="1"/>
  <c r="O35" i="1"/>
  <c r="P35" i="1"/>
  <c r="Q35" i="1"/>
  <c r="R35" i="1" s="1"/>
  <c r="O12" i="1"/>
  <c r="P12" i="1"/>
  <c r="O11" i="1"/>
  <c r="P11" i="1"/>
  <c r="Q76" i="1"/>
  <c r="R76" i="1" s="1"/>
  <c r="N195" i="1"/>
  <c r="N179" i="1"/>
  <c r="N163" i="1"/>
  <c r="N147" i="1"/>
  <c r="N131" i="1"/>
  <c r="N115" i="1"/>
  <c r="N99" i="1"/>
  <c r="N83" i="1"/>
  <c r="N67" i="1"/>
  <c r="O10" i="1"/>
  <c r="P10" i="1"/>
  <c r="O76" i="1"/>
  <c r="O9" i="1"/>
  <c r="P9" i="1"/>
  <c r="O156" i="1"/>
  <c r="P156" i="1"/>
  <c r="Q156" i="1"/>
  <c r="R156" i="1" s="1"/>
  <c r="R140" i="1"/>
  <c r="O124" i="1"/>
  <c r="P124" i="1"/>
  <c r="Q124" i="1"/>
  <c r="R124" i="1" s="1"/>
  <c r="O92" i="1"/>
  <c r="P92" i="1"/>
  <c r="Q92" i="1"/>
  <c r="O60" i="1"/>
  <c r="P60" i="1"/>
  <c r="Q60" i="1"/>
  <c r="R60" i="1" s="1"/>
  <c r="O44" i="1"/>
  <c r="P44" i="1"/>
  <c r="Q44" i="1"/>
  <c r="R44" i="1" s="1"/>
  <c r="Q28" i="1"/>
  <c r="O28" i="1"/>
  <c r="O8" i="1"/>
  <c r="P8" i="1"/>
  <c r="R376" i="1" l="1"/>
  <c r="R26" i="1"/>
  <c r="R364" i="1"/>
  <c r="R116" i="1"/>
  <c r="R469" i="1"/>
  <c r="R182" i="1"/>
  <c r="R89" i="1"/>
  <c r="R311" i="1"/>
  <c r="R234" i="1"/>
  <c r="R349" i="1"/>
  <c r="R413" i="1"/>
  <c r="R477" i="1"/>
  <c r="R541" i="1"/>
  <c r="R48" i="1"/>
  <c r="R128" i="1"/>
  <c r="R225" i="1"/>
  <c r="R66" i="1"/>
  <c r="R130" i="1"/>
  <c r="R194" i="1"/>
  <c r="R258" i="1"/>
  <c r="R403" i="1"/>
  <c r="R404" i="1"/>
  <c r="R118" i="1"/>
  <c r="R265" i="1"/>
  <c r="R188" i="1"/>
  <c r="R332" i="1"/>
  <c r="R170" i="1"/>
  <c r="R378" i="1"/>
  <c r="R458" i="1"/>
  <c r="R522" i="1"/>
  <c r="R93" i="1"/>
  <c r="R157" i="1"/>
  <c r="R221" i="1"/>
  <c r="R161" i="1"/>
  <c r="R305" i="1"/>
  <c r="R308" i="1"/>
  <c r="R339" i="1"/>
  <c r="R483" i="1"/>
  <c r="R164" i="1"/>
  <c r="R85" i="1"/>
  <c r="R245" i="1"/>
  <c r="R504" i="1"/>
  <c r="R42" i="1"/>
  <c r="R158" i="1"/>
  <c r="R343" i="1"/>
  <c r="R250" i="1"/>
  <c r="R29" i="1"/>
  <c r="R414" i="1"/>
  <c r="R428" i="1"/>
  <c r="R560" i="1"/>
  <c r="R64" i="1"/>
  <c r="R144" i="1"/>
  <c r="R241" i="1"/>
  <c r="R529" i="1"/>
  <c r="R338" i="1"/>
  <c r="R563" i="1"/>
  <c r="R345" i="1"/>
  <c r="R410" i="1"/>
  <c r="R262" i="1"/>
  <c r="R326" i="1"/>
  <c r="R406" i="1"/>
  <c r="R470" i="1"/>
  <c r="R201" i="1"/>
  <c r="R215" i="1"/>
  <c r="R186" i="1"/>
  <c r="R314" i="1"/>
  <c r="R538" i="1"/>
  <c r="R301" i="1"/>
  <c r="R365" i="1"/>
  <c r="R557" i="1"/>
  <c r="R513" i="1"/>
  <c r="R33" i="1"/>
  <c r="R448" i="1"/>
  <c r="R320" i="1"/>
  <c r="R181" i="1"/>
  <c r="R113" i="1"/>
  <c r="R450" i="1"/>
  <c r="R84" i="1"/>
  <c r="R389" i="1"/>
  <c r="R348" i="1"/>
  <c r="R216" i="1"/>
  <c r="R70" i="1"/>
  <c r="R134" i="1"/>
  <c r="R534" i="1"/>
  <c r="R263" i="1"/>
  <c r="R391" i="1"/>
  <c r="R380" i="1"/>
  <c r="R41" i="1"/>
  <c r="R220" i="1"/>
  <c r="R396" i="1"/>
  <c r="R122" i="1"/>
  <c r="R394" i="1"/>
  <c r="R474" i="1"/>
  <c r="R315" i="1"/>
  <c r="R109" i="1"/>
  <c r="R173" i="1"/>
  <c r="R237" i="1"/>
  <c r="R174" i="1"/>
  <c r="R49" i="1"/>
  <c r="R419" i="1"/>
  <c r="R277" i="1"/>
  <c r="R440" i="1"/>
  <c r="R393" i="1"/>
  <c r="R330" i="1"/>
  <c r="R45" i="1"/>
  <c r="R94" i="1"/>
  <c r="R430" i="1"/>
  <c r="R492" i="1"/>
  <c r="R468" i="1"/>
  <c r="R18" i="1"/>
  <c r="R306" i="1"/>
  <c r="R291" i="1"/>
  <c r="R355" i="1"/>
  <c r="R100" i="1"/>
  <c r="R196" i="1"/>
  <c r="R37" i="1"/>
  <c r="R133" i="1"/>
  <c r="R407" i="1"/>
  <c r="R524" i="1"/>
  <c r="R457" i="1"/>
  <c r="R554" i="1"/>
  <c r="R350" i="1"/>
  <c r="R446" i="1"/>
  <c r="R28" i="1"/>
  <c r="R434" i="1"/>
  <c r="R80" i="1"/>
  <c r="R352" i="1"/>
  <c r="R357" i="1"/>
  <c r="R129" i="1"/>
  <c r="R257" i="1"/>
  <c r="R545" i="1"/>
  <c r="R370" i="1"/>
  <c r="R466" i="1"/>
  <c r="R435" i="1"/>
  <c r="R309" i="1"/>
  <c r="R268" i="1"/>
  <c r="R375" i="1"/>
  <c r="R424" i="1"/>
  <c r="R278" i="1"/>
  <c r="R422" i="1"/>
  <c r="R183" i="1"/>
  <c r="R313" i="1"/>
  <c r="R247" i="1"/>
  <c r="R553" i="1"/>
  <c r="R252" i="1"/>
  <c r="R444" i="1"/>
  <c r="R202" i="1"/>
  <c r="R490" i="1"/>
  <c r="R317" i="1"/>
  <c r="R381" i="1"/>
  <c r="R445" i="1"/>
  <c r="R509" i="1"/>
  <c r="R190" i="1"/>
  <c r="R289" i="1"/>
  <c r="R223" i="1"/>
  <c r="R256" i="1"/>
  <c r="R337" i="1"/>
  <c r="R481" i="1"/>
  <c r="R482" i="1"/>
  <c r="R212" i="1"/>
  <c r="R361" i="1"/>
  <c r="R98" i="1"/>
  <c r="R162" i="1"/>
  <c r="R226" i="1"/>
  <c r="R228" i="1"/>
  <c r="R249" i="1"/>
  <c r="R548" i="1"/>
  <c r="R86" i="1"/>
  <c r="R486" i="1"/>
  <c r="R550" i="1"/>
  <c r="R519" i="1"/>
  <c r="R536" i="1"/>
  <c r="R297" i="1"/>
  <c r="R74" i="1"/>
  <c r="R138" i="1"/>
  <c r="R266" i="1"/>
  <c r="R61" i="1"/>
  <c r="R125" i="1"/>
  <c r="R189" i="1"/>
  <c r="R253" i="1"/>
  <c r="R14" i="1"/>
  <c r="R110" i="1"/>
  <c r="R321" i="1"/>
  <c r="R336" i="1"/>
  <c r="R92" i="1"/>
  <c r="R176" i="1"/>
  <c r="R368" i="1"/>
  <c r="R517" i="1"/>
  <c r="R34" i="1"/>
  <c r="R546" i="1"/>
  <c r="R371" i="1"/>
  <c r="R260" i="1"/>
  <c r="R213" i="1"/>
  <c r="R53" i="1"/>
  <c r="R197" i="1"/>
  <c r="R373" i="1"/>
  <c r="R441" i="1"/>
  <c r="R150" i="1"/>
  <c r="R358" i="1"/>
  <c r="R23" i="1"/>
  <c r="R346" i="1"/>
  <c r="R107" i="1"/>
  <c r="R21" i="1"/>
  <c r="R30" i="1"/>
  <c r="R286" i="1"/>
  <c r="R366" i="1"/>
  <c r="R204" i="1"/>
  <c r="R497" i="1"/>
  <c r="R514" i="1"/>
  <c r="R149" i="1"/>
  <c r="R307" i="1"/>
  <c r="R132" i="1"/>
  <c r="R488" i="1"/>
  <c r="R460" i="1"/>
  <c r="R390" i="1"/>
  <c r="R232" i="1"/>
  <c r="R218" i="1"/>
  <c r="R282" i="1"/>
  <c r="R515" i="1"/>
  <c r="R272" i="1"/>
  <c r="R244" i="1"/>
  <c r="R501" i="1"/>
  <c r="R273" i="1"/>
  <c r="R417" i="1"/>
  <c r="R561" i="1"/>
  <c r="R386" i="1"/>
  <c r="R456" i="1"/>
  <c r="R531" i="1"/>
  <c r="R341" i="1"/>
  <c r="R552" i="1"/>
  <c r="R166" i="1"/>
  <c r="R230" i="1"/>
  <c r="R294" i="1"/>
  <c r="R502" i="1"/>
  <c r="R199" i="1"/>
  <c r="R72" i="1"/>
  <c r="R135" i="1"/>
  <c r="R279" i="1"/>
  <c r="R284" i="1"/>
  <c r="R508" i="1"/>
  <c r="R333" i="1"/>
  <c r="R397" i="1"/>
  <c r="R525" i="1"/>
  <c r="R126" i="1"/>
  <c r="R382" i="1"/>
  <c r="R471" i="1"/>
  <c r="R384" i="1"/>
  <c r="R293" i="1"/>
  <c r="R67" i="1"/>
  <c r="R121" i="1"/>
  <c r="R16" i="1"/>
  <c r="R192" i="1"/>
  <c r="R464" i="1"/>
  <c r="R81" i="1"/>
  <c r="R145" i="1"/>
  <c r="R209" i="1"/>
  <c r="R353" i="1"/>
  <c r="R476" i="1"/>
  <c r="R50" i="1"/>
  <c r="R114" i="1"/>
  <c r="R178" i="1"/>
  <c r="R242" i="1"/>
  <c r="R387" i="1"/>
  <c r="R324" i="1"/>
  <c r="R556" i="1"/>
  <c r="R453" i="1"/>
  <c r="R102" i="1"/>
  <c r="R438" i="1"/>
  <c r="R327" i="1"/>
  <c r="R425" i="1"/>
  <c r="R39" i="1"/>
  <c r="R57" i="1"/>
  <c r="R105" i="1"/>
  <c r="R400" i="1"/>
  <c r="R90" i="1"/>
  <c r="R154" i="1"/>
  <c r="R362" i="1"/>
  <c r="R442" i="1"/>
  <c r="R506" i="1"/>
  <c r="R77" i="1"/>
  <c r="R269" i="1"/>
  <c r="R461" i="1"/>
  <c r="R46" i="1"/>
  <c r="R302" i="1"/>
  <c r="R478" i="1"/>
  <c r="R436" i="1"/>
</calcChain>
</file>

<file path=xl/sharedStrings.xml><?xml version="1.0" encoding="utf-8"?>
<sst xmlns="http://schemas.openxmlformats.org/spreadsheetml/2006/main" count="585" uniqueCount="23">
  <si>
    <t>trade_date</t>
  </si>
  <si>
    <t>ticker</t>
  </si>
  <si>
    <t>open</t>
  </si>
  <si>
    <t>high</t>
  </si>
  <si>
    <t>low</t>
  </si>
  <si>
    <t>close</t>
  </si>
  <si>
    <t>volume</t>
  </si>
  <si>
    <t>SPY</t>
  </si>
  <si>
    <t>ma5(t-1)</t>
    <phoneticPr fontId="18" type="noConversion"/>
  </si>
  <si>
    <t>ma20(t-1)</t>
    <phoneticPr fontId="18" type="noConversion"/>
  </si>
  <si>
    <t>ma60(t-1)</t>
    <phoneticPr fontId="18" type="noConversion"/>
  </si>
  <si>
    <t>Slope5(t-1)</t>
    <phoneticPr fontId="18" type="noConversion"/>
  </si>
  <si>
    <t>Slope20(t-1)</t>
    <phoneticPr fontId="18" type="noConversion"/>
  </si>
  <si>
    <t>Slope60(t-1)</t>
    <phoneticPr fontId="18" type="noConversion"/>
  </si>
  <si>
    <t>Buy signal</t>
    <phoneticPr fontId="18" type="noConversion"/>
  </si>
  <si>
    <t>Open/ma5(t-1)-1</t>
    <phoneticPr fontId="18" type="noConversion"/>
  </si>
  <si>
    <t>Close(t-1)/ma5(t-1)-1</t>
    <phoneticPr fontId="18" type="noConversion"/>
  </si>
  <si>
    <t>Low(t-1)/ma5(t-1)-1</t>
    <phoneticPr fontId="18" type="noConversion"/>
  </si>
  <si>
    <t>Diff(1)Low(t-1)/ma5(t-1)-1</t>
    <phoneticPr fontId="18" type="noConversion"/>
  </si>
  <si>
    <t>(ma20-ma60)/ma60</t>
    <phoneticPr fontId="18" type="noConversion"/>
  </si>
  <si>
    <t>Diff(1)(ma20-ma60)/ma60</t>
    <phoneticPr fontId="18" type="noConversion"/>
  </si>
  <si>
    <t>Avg(2)Diff(1)Low(t-1)/ma5(t-1)-1</t>
    <phoneticPr fontId="18" type="noConversion"/>
  </si>
  <si>
    <t>Sign(ma60,spread2060,d_spread2060)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</si>
</sst>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33" borderId="0" xfId="0" applyFill="1">
      <alignment vertical="center"/>
    </xf>
    <xf numFmtId="0" fontId="0" fillId="0" borderId="0" xfId="0" applyFill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64"/>
  <sheetViews>
    <sheetView tabSelected="1" zoomScaleNormal="100" workbookViewId="0">
      <pane ySplit="1" topLeftCell="A485" activePane="bottomLeft" state="frozen"/>
      <selection pane="bottomLeft" activeCell="V65" sqref="V65:V564"/>
    </sheetView>
  </sheetViews>
  <sheetFormatPr defaultRowHeight="13.8"/>
  <cols>
    <col min="1" max="1" width="15.5546875" customWidth="1"/>
    <col min="10" max="10" width="8.88671875" style="4"/>
    <col min="13" max="13" width="13.6640625" style="3" customWidth="1"/>
    <col min="15" max="15" width="15.77734375" customWidth="1"/>
    <col min="16" max="16" width="21" customWidth="1"/>
    <col min="17" max="17" width="20.5546875" customWidth="1"/>
    <col min="18" max="18" width="25" customWidth="1"/>
    <col min="19" max="19" width="26.21875" style="3" customWidth="1"/>
    <col min="20" max="20" width="27.109375" style="3" customWidth="1"/>
    <col min="21" max="21" width="31.77734375" style="2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s="4" t="s">
        <v>10</v>
      </c>
      <c r="K1" t="s">
        <v>11</v>
      </c>
      <c r="L1" t="s">
        <v>12</v>
      </c>
      <c r="M1" s="3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s="3" t="s">
        <v>19</v>
      </c>
      <c r="T1" s="3" t="s">
        <v>20</v>
      </c>
      <c r="U1" s="2" t="s">
        <v>21</v>
      </c>
      <c r="V1" t="s">
        <v>22</v>
      </c>
    </row>
    <row r="2" spans="1:22">
      <c r="A2" s="1">
        <v>45293</v>
      </c>
      <c r="B2" t="s">
        <v>7</v>
      </c>
      <c r="C2">
        <v>472.1600037</v>
      </c>
      <c r="D2">
        <v>473.67001340000002</v>
      </c>
      <c r="E2">
        <v>470.48999020000002</v>
      </c>
      <c r="F2">
        <v>472.64999390000003</v>
      </c>
      <c r="G2">
        <v>123623700</v>
      </c>
    </row>
    <row r="3" spans="1:22">
      <c r="A3" s="1">
        <v>45294</v>
      </c>
      <c r="B3" t="s">
        <v>7</v>
      </c>
      <c r="C3">
        <v>470.42999270000001</v>
      </c>
      <c r="D3">
        <v>471.19000240000003</v>
      </c>
      <c r="E3">
        <v>468.17001340000002</v>
      </c>
      <c r="F3">
        <v>468.7900085</v>
      </c>
      <c r="G3">
        <v>103585900</v>
      </c>
    </row>
    <row r="4" spans="1:22">
      <c r="A4" s="1">
        <v>45295</v>
      </c>
      <c r="B4" t="s">
        <v>7</v>
      </c>
      <c r="C4">
        <v>468.2999878</v>
      </c>
      <c r="D4">
        <v>470.9599915</v>
      </c>
      <c r="E4">
        <v>467.0499878</v>
      </c>
      <c r="F4">
        <v>467.27999879999999</v>
      </c>
      <c r="G4">
        <v>84232200</v>
      </c>
    </row>
    <row r="5" spans="1:22">
      <c r="A5" s="1">
        <v>45296</v>
      </c>
      <c r="B5" t="s">
        <v>7</v>
      </c>
      <c r="C5">
        <v>467.48999020000002</v>
      </c>
      <c r="D5">
        <v>470.44000240000003</v>
      </c>
      <c r="E5">
        <v>466.42999270000001</v>
      </c>
      <c r="F5">
        <v>467.92001340000002</v>
      </c>
      <c r="G5">
        <v>86118900</v>
      </c>
    </row>
    <row r="6" spans="1:22">
      <c r="A6" s="1">
        <v>45299</v>
      </c>
      <c r="B6" t="s">
        <v>7</v>
      </c>
      <c r="C6">
        <v>468.42999270000001</v>
      </c>
      <c r="D6">
        <v>474.75</v>
      </c>
      <c r="E6">
        <v>468.2999878</v>
      </c>
      <c r="F6">
        <v>474.60000609999997</v>
      </c>
      <c r="G6">
        <v>74879100</v>
      </c>
    </row>
    <row r="7" spans="1:22">
      <c r="A7" s="1">
        <v>45300</v>
      </c>
      <c r="B7" t="s">
        <v>7</v>
      </c>
      <c r="C7">
        <v>471.86999509999998</v>
      </c>
      <c r="D7">
        <v>474.92999270000001</v>
      </c>
      <c r="E7">
        <v>471.35000609999997</v>
      </c>
      <c r="F7">
        <v>473.88000490000002</v>
      </c>
      <c r="G7">
        <v>65931400</v>
      </c>
      <c r="H7">
        <f t="shared" ref="H7:H11" si="0">AVERAGE(F2:F6)</f>
        <v>470.24800414000003</v>
      </c>
      <c r="K7">
        <f>(F6-F2)/F2/5</f>
        <v>8.2514005084807708E-4</v>
      </c>
      <c r="O7">
        <f>C7/H7-1</f>
        <v>3.449224549004315E-3</v>
      </c>
      <c r="P7">
        <f>F6/H7-1</f>
        <v>9.2546952282317463E-3</v>
      </c>
      <c r="Q7">
        <f>E6/H7-1</f>
        <v>-4.1425297350545787E-3</v>
      </c>
    </row>
    <row r="8" spans="1:22">
      <c r="A8" s="1">
        <v>45301</v>
      </c>
      <c r="B8" t="s">
        <v>7</v>
      </c>
      <c r="C8">
        <v>474.1600037</v>
      </c>
      <c r="D8">
        <v>477.4500122</v>
      </c>
      <c r="E8">
        <v>473.86999509999998</v>
      </c>
      <c r="F8">
        <v>476.55999759999997</v>
      </c>
      <c r="G8">
        <v>67310600</v>
      </c>
      <c r="H8">
        <f t="shared" si="0"/>
        <v>470.49400634000006</v>
      </c>
      <c r="K8">
        <f t="shared" ref="K8:K71" si="1">(F7-F3)/F3/5</f>
        <v>2.1715464526586717E-3</v>
      </c>
      <c r="O8">
        <f t="shared" ref="O8:O22" si="2">C8/H8-1</f>
        <v>7.7918045938947245E-3</v>
      </c>
      <c r="P8">
        <f t="shared" ref="P8:P22" si="3">F7/H8-1</f>
        <v>7.1966879798104344E-3</v>
      </c>
      <c r="Q8">
        <f t="shared" ref="Q8:Q22" si="4">E7/H8-1</f>
        <v>1.8193637930881135E-3</v>
      </c>
      <c r="R8">
        <f>Q8-Q7</f>
        <v>5.9618935281426921E-3</v>
      </c>
    </row>
    <row r="9" spans="1:22">
      <c r="A9" s="1">
        <v>45302</v>
      </c>
      <c r="B9" t="s">
        <v>7</v>
      </c>
      <c r="C9">
        <v>477.5899963</v>
      </c>
      <c r="D9">
        <v>478.11999509999998</v>
      </c>
      <c r="E9">
        <v>472.26000979999998</v>
      </c>
      <c r="F9">
        <v>476.35000609999997</v>
      </c>
      <c r="G9">
        <v>77940700</v>
      </c>
      <c r="H9">
        <f t="shared" si="0"/>
        <v>472.04800416</v>
      </c>
      <c r="K9">
        <f t="shared" si="1"/>
        <v>3.9719221125798319E-3</v>
      </c>
      <c r="O9">
        <f t="shared" si="2"/>
        <v>1.1740314737400226E-2</v>
      </c>
      <c r="P9">
        <f t="shared" si="3"/>
        <v>9.5583360171789256E-3</v>
      </c>
      <c r="Q9">
        <f t="shared" si="4"/>
        <v>3.8597577448551412E-3</v>
      </c>
      <c r="R9">
        <f t="shared" ref="R9:R72" si="5">Q9-Q8</f>
        <v>2.0403939517670278E-3</v>
      </c>
    </row>
    <row r="10" spans="1:22">
      <c r="A10" s="1">
        <v>45303</v>
      </c>
      <c r="B10" t="s">
        <v>7</v>
      </c>
      <c r="C10">
        <v>477.8399963</v>
      </c>
      <c r="D10">
        <v>478.60000609999997</v>
      </c>
      <c r="E10">
        <v>475.23001099999999</v>
      </c>
      <c r="F10">
        <v>476.67999270000001</v>
      </c>
      <c r="G10">
        <v>58026400</v>
      </c>
      <c r="H10">
        <f t="shared" si="0"/>
        <v>473.86200561999993</v>
      </c>
      <c r="K10">
        <f t="shared" si="1"/>
        <v>3.6031768073974658E-3</v>
      </c>
      <c r="O10">
        <f t="shared" si="2"/>
        <v>8.3948293655560224E-3</v>
      </c>
      <c r="P10">
        <f t="shared" si="3"/>
        <v>5.2504747173067745E-3</v>
      </c>
      <c r="Q10">
        <f t="shared" si="4"/>
        <v>-3.3807222376984747E-3</v>
      </c>
      <c r="R10">
        <f t="shared" si="5"/>
        <v>-7.2404799825536159E-3</v>
      </c>
    </row>
    <row r="11" spans="1:22">
      <c r="A11" s="1">
        <v>45307</v>
      </c>
      <c r="B11" t="s">
        <v>7</v>
      </c>
      <c r="C11">
        <v>475.26000979999998</v>
      </c>
      <c r="D11">
        <v>476.60998540000003</v>
      </c>
      <c r="E11">
        <v>473.05999759999997</v>
      </c>
      <c r="F11">
        <v>474.92999270000001</v>
      </c>
      <c r="G11">
        <v>85014900</v>
      </c>
      <c r="H11">
        <f t="shared" si="0"/>
        <v>475.61400148000001</v>
      </c>
      <c r="K11">
        <f t="shared" si="1"/>
        <v>8.7652194406494797E-4</v>
      </c>
      <c r="O11">
        <f t="shared" si="2"/>
        <v>-7.4428355535893775E-4</v>
      </c>
      <c r="P11">
        <f t="shared" si="3"/>
        <v>2.2412948665995192E-3</v>
      </c>
      <c r="Q11">
        <f t="shared" si="4"/>
        <v>-8.0735739234993886E-4</v>
      </c>
      <c r="R11">
        <f t="shared" si="5"/>
        <v>2.5733648453485358E-3</v>
      </c>
    </row>
    <row r="12" spans="1:22">
      <c r="A12" s="1">
        <v>45308</v>
      </c>
      <c r="B12" t="s">
        <v>7</v>
      </c>
      <c r="C12">
        <v>471.82000729999999</v>
      </c>
      <c r="D12">
        <v>472.7900085</v>
      </c>
      <c r="E12">
        <v>469.86999509999998</v>
      </c>
      <c r="F12">
        <v>472.2900085</v>
      </c>
      <c r="G12">
        <v>68843900</v>
      </c>
      <c r="H12">
        <f t="shared" ref="H12:H15" si="6">AVERAGE(F7:F11)</f>
        <v>475.67999879999996</v>
      </c>
      <c r="K12">
        <f t="shared" si="1"/>
        <v>4.4314501103357134E-4</v>
      </c>
      <c r="O12">
        <f t="shared" si="2"/>
        <v>-8.1146811085973658E-3</v>
      </c>
      <c r="P12">
        <f t="shared" si="3"/>
        <v>-1.5767030396316439E-3</v>
      </c>
      <c r="Q12">
        <f t="shared" si="4"/>
        <v>-5.507907010194879E-3</v>
      </c>
      <c r="R12">
        <f t="shared" si="5"/>
        <v>-4.7005496178449402E-3</v>
      </c>
    </row>
    <row r="13" spans="1:22">
      <c r="A13" s="1">
        <v>45309</v>
      </c>
      <c r="B13" t="s">
        <v>7</v>
      </c>
      <c r="C13">
        <v>474.01000979999998</v>
      </c>
      <c r="D13">
        <v>477.05999759999997</v>
      </c>
      <c r="E13">
        <v>472.42001340000002</v>
      </c>
      <c r="F13">
        <v>476.48999020000002</v>
      </c>
      <c r="G13">
        <v>91856200</v>
      </c>
      <c r="H13">
        <f t="shared" si="6"/>
        <v>475.36199951999998</v>
      </c>
      <c r="K13">
        <f t="shared" si="1"/>
        <v>-1.7920048352795172E-3</v>
      </c>
      <c r="O13">
        <f t="shared" si="2"/>
        <v>-2.8441266263714571E-3</v>
      </c>
      <c r="P13">
        <f t="shared" si="3"/>
        <v>-6.4624244746149806E-3</v>
      </c>
      <c r="Q13">
        <f t="shared" si="4"/>
        <v>-1.1553309741934803E-2</v>
      </c>
      <c r="R13">
        <f t="shared" si="5"/>
        <v>-6.0454027317399239E-3</v>
      </c>
    </row>
    <row r="14" spans="1:22">
      <c r="A14" s="1">
        <v>45310</v>
      </c>
      <c r="B14" t="s">
        <v>7</v>
      </c>
      <c r="C14">
        <v>477.64999390000003</v>
      </c>
      <c r="D14">
        <v>482.72000120000001</v>
      </c>
      <c r="E14">
        <v>476.5400085</v>
      </c>
      <c r="F14">
        <v>482.42999270000001</v>
      </c>
      <c r="G14">
        <v>110834500</v>
      </c>
      <c r="H14">
        <f t="shared" si="6"/>
        <v>475.34799804000005</v>
      </c>
      <c r="K14">
        <f t="shared" si="1"/>
        <v>5.8773632080383525E-5</v>
      </c>
      <c r="O14">
        <f t="shared" si="2"/>
        <v>4.8427591353950028E-3</v>
      </c>
      <c r="P14">
        <f t="shared" si="3"/>
        <v>2.4024339320007915E-3</v>
      </c>
      <c r="Q14">
        <f t="shared" si="4"/>
        <v>-6.1596654494664449E-3</v>
      </c>
      <c r="R14">
        <f t="shared" si="5"/>
        <v>5.3936442924683581E-3</v>
      </c>
    </row>
    <row r="15" spans="1:22">
      <c r="A15" s="1">
        <v>45313</v>
      </c>
      <c r="B15" t="s">
        <v>7</v>
      </c>
      <c r="C15">
        <v>484.01000979999998</v>
      </c>
      <c r="D15">
        <v>485.22000120000001</v>
      </c>
      <c r="E15">
        <v>482.77999879999999</v>
      </c>
      <c r="F15">
        <v>483.4500122</v>
      </c>
      <c r="G15">
        <v>75844900</v>
      </c>
      <c r="H15">
        <f t="shared" si="6"/>
        <v>476.56399535999998</v>
      </c>
      <c r="K15">
        <f t="shared" si="1"/>
        <v>2.4125199664584117E-3</v>
      </c>
      <c r="O15">
        <f t="shared" si="2"/>
        <v>1.5624374716716183E-2</v>
      </c>
      <c r="P15">
        <f t="shared" si="3"/>
        <v>1.230893940187161E-2</v>
      </c>
      <c r="Q15">
        <f t="shared" si="4"/>
        <v>-5.0332925343732349E-5</v>
      </c>
      <c r="R15">
        <f t="shared" si="5"/>
        <v>6.1093325241227125E-3</v>
      </c>
    </row>
    <row r="16" spans="1:22">
      <c r="A16" s="1">
        <v>45314</v>
      </c>
      <c r="B16" t="s">
        <v>7</v>
      </c>
      <c r="C16">
        <v>484.01000979999998</v>
      </c>
      <c r="D16">
        <v>485.10998540000003</v>
      </c>
      <c r="E16">
        <v>482.89001459999997</v>
      </c>
      <c r="F16">
        <v>484.85998540000003</v>
      </c>
      <c r="G16">
        <v>49945300</v>
      </c>
      <c r="H16">
        <f t="shared" ref="H16:H79" si="7">AVERAGE(F11:F15)</f>
        <v>477.91799926000004</v>
      </c>
      <c r="K16">
        <f t="shared" si="1"/>
        <v>3.5879054306775888E-3</v>
      </c>
      <c r="O16">
        <f t="shared" si="2"/>
        <v>1.2746978664609276E-2</v>
      </c>
      <c r="P16">
        <f t="shared" si="3"/>
        <v>1.157523455606535E-2</v>
      </c>
      <c r="Q16">
        <f t="shared" si="4"/>
        <v>1.0173292379713983E-2</v>
      </c>
      <c r="R16">
        <f t="shared" si="5"/>
        <v>1.0223625305057715E-2</v>
      </c>
    </row>
    <row r="17" spans="1:18">
      <c r="A17" s="1">
        <v>45315</v>
      </c>
      <c r="B17" t="s">
        <v>7</v>
      </c>
      <c r="C17">
        <v>487.80999759999997</v>
      </c>
      <c r="D17">
        <v>488.76998900000001</v>
      </c>
      <c r="E17">
        <v>484.88000490000002</v>
      </c>
      <c r="F17">
        <v>485.39001459999997</v>
      </c>
      <c r="G17">
        <v>81765000</v>
      </c>
      <c r="H17">
        <f t="shared" si="7"/>
        <v>479.90399779999996</v>
      </c>
      <c r="K17">
        <f t="shared" si="1"/>
        <v>5.322990820797781E-3</v>
      </c>
      <c r="O17">
        <f t="shared" si="2"/>
        <v>1.6474127817736717E-2</v>
      </c>
      <c r="P17">
        <f t="shared" si="3"/>
        <v>1.0327039621923495E-2</v>
      </c>
      <c r="Q17">
        <f t="shared" si="4"/>
        <v>6.2221127844082069E-3</v>
      </c>
      <c r="R17">
        <f t="shared" si="5"/>
        <v>-3.951179595305776E-3</v>
      </c>
    </row>
    <row r="18" spans="1:18">
      <c r="A18" s="1">
        <v>45316</v>
      </c>
      <c r="B18" t="s">
        <v>7</v>
      </c>
      <c r="C18">
        <v>487.57998659999998</v>
      </c>
      <c r="D18">
        <v>488.30999759999997</v>
      </c>
      <c r="E18">
        <v>485.39001459999997</v>
      </c>
      <c r="F18">
        <v>488.02999879999999</v>
      </c>
      <c r="G18">
        <v>72525000</v>
      </c>
      <c r="H18">
        <f t="shared" si="7"/>
        <v>482.52399902000008</v>
      </c>
      <c r="K18">
        <f t="shared" si="1"/>
        <v>3.7356605943660174E-3</v>
      </c>
      <c r="O18">
        <f t="shared" si="2"/>
        <v>1.0478209561117335E-2</v>
      </c>
      <c r="P18">
        <f t="shared" si="3"/>
        <v>5.9396332323795598E-3</v>
      </c>
      <c r="Q18">
        <f t="shared" si="4"/>
        <v>4.8826708822462539E-3</v>
      </c>
      <c r="R18">
        <f t="shared" si="5"/>
        <v>-1.339441902161953E-3</v>
      </c>
    </row>
    <row r="19" spans="1:18">
      <c r="A19" s="1">
        <v>45317</v>
      </c>
      <c r="B19" t="s">
        <v>7</v>
      </c>
      <c r="C19">
        <v>487.5899963</v>
      </c>
      <c r="D19">
        <v>489.11999509999998</v>
      </c>
      <c r="E19">
        <v>486.5400085</v>
      </c>
      <c r="F19">
        <v>487.4100037</v>
      </c>
      <c r="G19">
        <v>76641600</v>
      </c>
      <c r="H19">
        <f t="shared" si="7"/>
        <v>484.83200074000007</v>
      </c>
      <c r="K19">
        <f t="shared" si="1"/>
        <v>2.3215828968918802E-3</v>
      </c>
      <c r="O19">
        <f t="shared" si="2"/>
        <v>5.6885592448319144E-3</v>
      </c>
      <c r="P19">
        <f t="shared" si="3"/>
        <v>6.5960952559211972E-3</v>
      </c>
      <c r="Q19">
        <f t="shared" si="4"/>
        <v>1.1509427165454778E-3</v>
      </c>
      <c r="R19">
        <f t="shared" si="5"/>
        <v>-3.7317281657007761E-3</v>
      </c>
    </row>
    <row r="20" spans="1:18">
      <c r="A20" s="1">
        <v>45320</v>
      </c>
      <c r="B20" t="s">
        <v>7</v>
      </c>
      <c r="C20">
        <v>487.73001099999999</v>
      </c>
      <c r="D20">
        <v>491.42001340000002</v>
      </c>
      <c r="E20">
        <v>487.17001340000002</v>
      </c>
      <c r="F20">
        <v>491.26998900000001</v>
      </c>
      <c r="G20">
        <v>61322800</v>
      </c>
      <c r="H20">
        <f t="shared" si="7"/>
        <v>485.82800293999998</v>
      </c>
      <c r="K20">
        <f t="shared" si="1"/>
        <v>1.6382216982391052E-3</v>
      </c>
      <c r="O20">
        <f t="shared" si="2"/>
        <v>3.9149823569040176E-3</v>
      </c>
      <c r="P20">
        <f t="shared" si="3"/>
        <v>3.256298011696579E-3</v>
      </c>
      <c r="Q20">
        <f t="shared" si="4"/>
        <v>1.4655506798524343E-3</v>
      </c>
      <c r="R20">
        <f t="shared" si="5"/>
        <v>3.1460796330695651E-4</v>
      </c>
    </row>
    <row r="21" spans="1:18">
      <c r="A21" s="1">
        <v>45321</v>
      </c>
      <c r="B21" t="s">
        <v>7</v>
      </c>
      <c r="C21">
        <v>490.55999759999997</v>
      </c>
      <c r="D21">
        <v>491.61999509999998</v>
      </c>
      <c r="E21">
        <v>490.10998540000003</v>
      </c>
      <c r="F21">
        <v>490.89001459999997</v>
      </c>
      <c r="G21">
        <v>58618400</v>
      </c>
      <c r="H21">
        <f t="shared" si="7"/>
        <v>487.39199829999995</v>
      </c>
      <c r="K21">
        <f t="shared" si="1"/>
        <v>2.64406376810487E-3</v>
      </c>
      <c r="O21">
        <f t="shared" si="2"/>
        <v>6.4999001030994208E-3</v>
      </c>
      <c r="P21">
        <f t="shared" si="3"/>
        <v>7.9566154420389612E-3</v>
      </c>
      <c r="Q21">
        <f t="shared" si="4"/>
        <v>-4.554545433126389E-4</v>
      </c>
      <c r="R21">
        <f t="shared" si="5"/>
        <v>-1.9210052231650732E-3</v>
      </c>
    </row>
    <row r="22" spans="1:18">
      <c r="A22" s="1">
        <v>45322</v>
      </c>
      <c r="B22" t="s">
        <v>7</v>
      </c>
      <c r="C22">
        <v>488.61999509999998</v>
      </c>
      <c r="D22">
        <v>489.07998659999998</v>
      </c>
      <c r="E22">
        <v>482.85998540000003</v>
      </c>
      <c r="F22">
        <v>482.88000490000002</v>
      </c>
      <c r="G22">
        <v>126011100</v>
      </c>
      <c r="H22">
        <f t="shared" si="7"/>
        <v>488.59800414</v>
      </c>
      <c r="I22">
        <f t="shared" ref="I22:I33" si="8">AVERAGE(F2:F21)</f>
        <v>478.60750122000002</v>
      </c>
      <c r="K22">
        <f t="shared" si="1"/>
        <v>2.2662188485819751E-3</v>
      </c>
      <c r="L22">
        <f>(F21-F2)/F2/20</f>
        <v>1.929548390500883E-3</v>
      </c>
      <c r="O22">
        <f t="shared" si="2"/>
        <v>4.5008288641401606E-5</v>
      </c>
      <c r="P22">
        <f t="shared" si="3"/>
        <v>4.6909943155297729E-3</v>
      </c>
      <c r="Q22">
        <f t="shared" si="4"/>
        <v>3.094530160149489E-3</v>
      </c>
      <c r="R22">
        <f t="shared" si="5"/>
        <v>3.5499847034621279E-3</v>
      </c>
    </row>
    <row r="23" spans="1:18">
      <c r="A23" s="1">
        <v>45323</v>
      </c>
      <c r="B23" t="s">
        <v>7</v>
      </c>
      <c r="C23">
        <v>484.63000490000002</v>
      </c>
      <c r="D23">
        <v>489.23001099999999</v>
      </c>
      <c r="E23">
        <v>483.7999878</v>
      </c>
      <c r="F23">
        <v>489.2000122</v>
      </c>
      <c r="G23">
        <v>91891600</v>
      </c>
      <c r="H23">
        <f t="shared" si="7"/>
        <v>488.09600220000004</v>
      </c>
      <c r="I23">
        <f t="shared" si="8"/>
        <v>479.11900176999995</v>
      </c>
      <c r="K23">
        <f t="shared" si="1"/>
        <v>-2.1105234975977343E-3</v>
      </c>
      <c r="L23">
        <f t="shared" ref="L23:L86" si="9">(F22-F3)/F3/20</f>
        <v>1.5028046827495491E-3</v>
      </c>
      <c r="O23">
        <f t="shared" ref="O23:O86" si="10">C23/H23-1</f>
        <v>-7.10105652244164E-3</v>
      </c>
      <c r="P23">
        <f t="shared" ref="P23:P86" si="11">F22/H23-1</f>
        <v>-1.0686416763279971E-2</v>
      </c>
      <c r="Q23">
        <f t="shared" ref="Q23:Q86" si="12">E22/H23-1</f>
        <v>-1.0727432260046466E-2</v>
      </c>
      <c r="R23">
        <f t="shared" si="5"/>
        <v>-1.3821962420195955E-2</v>
      </c>
    </row>
    <row r="24" spans="1:18">
      <c r="A24" s="1">
        <v>45324</v>
      </c>
      <c r="B24" t="s">
        <v>7</v>
      </c>
      <c r="C24">
        <v>489.64999390000003</v>
      </c>
      <c r="D24">
        <v>496.0499878</v>
      </c>
      <c r="E24">
        <v>489.2999878</v>
      </c>
      <c r="F24">
        <v>494.35000609999997</v>
      </c>
      <c r="G24">
        <v>99228200</v>
      </c>
      <c r="H24">
        <f t="shared" si="7"/>
        <v>488.33000487999999</v>
      </c>
      <c r="I24">
        <f t="shared" si="8"/>
        <v>480.13950195500001</v>
      </c>
      <c r="K24">
        <f t="shared" si="1"/>
        <v>7.3449805560484396E-4</v>
      </c>
      <c r="L24">
        <f t="shared" si="9"/>
        <v>2.345490226019922E-3</v>
      </c>
      <c r="O24">
        <f t="shared" si="10"/>
        <v>2.7030676116746033E-3</v>
      </c>
      <c r="P24">
        <f t="shared" si="11"/>
        <v>1.7815970988999119E-3</v>
      </c>
      <c r="Q24">
        <f t="shared" si="12"/>
        <v>-9.2765487165040739E-3</v>
      </c>
      <c r="R24">
        <f t="shared" si="5"/>
        <v>1.4508835435423917E-3</v>
      </c>
    </row>
    <row r="25" spans="1:18">
      <c r="A25" s="1">
        <v>45327</v>
      </c>
      <c r="B25" t="s">
        <v>7</v>
      </c>
      <c r="C25">
        <v>493.7000122</v>
      </c>
      <c r="D25">
        <v>494.38000490000002</v>
      </c>
      <c r="E25">
        <v>490.23001099999999</v>
      </c>
      <c r="F25">
        <v>492.5499878</v>
      </c>
      <c r="G25">
        <v>75757100</v>
      </c>
      <c r="H25">
        <f t="shared" si="7"/>
        <v>489.71800536000001</v>
      </c>
      <c r="I25">
        <f t="shared" si="8"/>
        <v>481.49300231999996</v>
      </c>
      <c r="K25">
        <f t="shared" si="1"/>
        <v>1.2538999609031536E-3</v>
      </c>
      <c r="L25">
        <f t="shared" si="9"/>
        <v>2.8241998571459218E-3</v>
      </c>
      <c r="O25">
        <f t="shared" si="10"/>
        <v>8.1312240849154005E-3</v>
      </c>
      <c r="P25">
        <f t="shared" si="11"/>
        <v>9.458506098004138E-3</v>
      </c>
      <c r="Q25">
        <f t="shared" si="12"/>
        <v>-8.535883006643985E-4</v>
      </c>
      <c r="R25">
        <f t="shared" si="5"/>
        <v>8.4229604158396754E-3</v>
      </c>
    </row>
    <row r="26" spans="1:18">
      <c r="A26" s="1">
        <v>45328</v>
      </c>
      <c r="B26" t="s">
        <v>7</v>
      </c>
      <c r="C26">
        <v>493.51998900000001</v>
      </c>
      <c r="D26">
        <v>494.32000729999999</v>
      </c>
      <c r="E26">
        <v>492.0499878</v>
      </c>
      <c r="F26">
        <v>493.98001099999999</v>
      </c>
      <c r="G26">
        <v>55918600</v>
      </c>
      <c r="H26">
        <f t="shared" si="7"/>
        <v>489.97400511999996</v>
      </c>
      <c r="I26">
        <f t="shared" si="8"/>
        <v>482.72450104000001</v>
      </c>
      <c r="K26">
        <f t="shared" si="1"/>
        <v>6.7631165867272647E-4</v>
      </c>
      <c r="L26">
        <f t="shared" si="9"/>
        <v>1.8910642087326371E-3</v>
      </c>
      <c r="O26">
        <f t="shared" si="10"/>
        <v>7.2370857289287827E-3</v>
      </c>
      <c r="P26">
        <f t="shared" si="11"/>
        <v>5.2573864186307162E-3</v>
      </c>
      <c r="Q26">
        <f t="shared" si="12"/>
        <v>5.2248869802262732E-4</v>
      </c>
      <c r="R26">
        <f t="shared" si="5"/>
        <v>1.3760769986870258E-3</v>
      </c>
    </row>
    <row r="27" spans="1:18">
      <c r="A27" s="1">
        <v>45329</v>
      </c>
      <c r="B27" t="s">
        <v>7</v>
      </c>
      <c r="C27">
        <v>496.2900085</v>
      </c>
      <c r="D27">
        <v>498.52999879999999</v>
      </c>
      <c r="E27">
        <v>495.35998540000003</v>
      </c>
      <c r="F27">
        <v>498.10000609999997</v>
      </c>
      <c r="G27">
        <v>70556500</v>
      </c>
      <c r="H27">
        <f t="shared" si="7"/>
        <v>490.59200440000006</v>
      </c>
      <c r="I27">
        <f t="shared" si="8"/>
        <v>483.69350128499991</v>
      </c>
      <c r="K27">
        <f t="shared" si="1"/>
        <v>4.5974179868137977E-3</v>
      </c>
      <c r="L27">
        <f t="shared" si="9"/>
        <v>2.1207906951298309E-3</v>
      </c>
      <c r="O27">
        <f t="shared" si="10"/>
        <v>1.1614547422085897E-2</v>
      </c>
      <c r="P27">
        <f t="shared" si="11"/>
        <v>6.9059555997932343E-3</v>
      </c>
      <c r="Q27">
        <f t="shared" si="12"/>
        <v>2.971885776620109E-3</v>
      </c>
      <c r="R27">
        <f t="shared" si="5"/>
        <v>2.4493970785974817E-3</v>
      </c>
    </row>
    <row r="28" spans="1:18">
      <c r="A28" s="1">
        <v>45330</v>
      </c>
      <c r="B28" t="s">
        <v>7</v>
      </c>
      <c r="C28">
        <v>498.10000609999997</v>
      </c>
      <c r="D28">
        <v>498.7099915</v>
      </c>
      <c r="E28">
        <v>497.26000979999998</v>
      </c>
      <c r="F28">
        <v>498.32000729999999</v>
      </c>
      <c r="G28">
        <v>52343600</v>
      </c>
      <c r="H28">
        <f t="shared" si="7"/>
        <v>493.63600464000001</v>
      </c>
      <c r="I28">
        <f t="shared" si="8"/>
        <v>484.90450134499986</v>
      </c>
      <c r="K28">
        <f t="shared" si="1"/>
        <v>3.6385910376312003E-3</v>
      </c>
      <c r="L28">
        <f t="shared" si="9"/>
        <v>2.2599471848746711E-3</v>
      </c>
      <c r="O28">
        <f t="shared" si="10"/>
        <v>9.0431034568789759E-3</v>
      </c>
      <c r="P28">
        <f t="shared" si="11"/>
        <v>9.0431034568789759E-3</v>
      </c>
      <c r="Q28">
        <f t="shared" si="12"/>
        <v>3.4924129192264175E-3</v>
      </c>
      <c r="R28">
        <f t="shared" si="5"/>
        <v>5.205271426063085E-4</v>
      </c>
    </row>
    <row r="29" spans="1:18">
      <c r="A29" s="1">
        <v>45331</v>
      </c>
      <c r="B29" t="s">
        <v>7</v>
      </c>
      <c r="C29">
        <v>498.8399963</v>
      </c>
      <c r="D29">
        <v>501.64999390000003</v>
      </c>
      <c r="E29">
        <v>498.48999020000002</v>
      </c>
      <c r="F29">
        <v>501.2000122</v>
      </c>
      <c r="G29">
        <v>63979400</v>
      </c>
      <c r="H29">
        <f t="shared" si="7"/>
        <v>495.46000365999998</v>
      </c>
      <c r="I29">
        <f t="shared" si="8"/>
        <v>485.99250182999992</v>
      </c>
      <c r="K29">
        <f t="shared" si="1"/>
        <v>1.6061499548952925E-3</v>
      </c>
      <c r="L29">
        <f t="shared" si="9"/>
        <v>2.3060775604763885E-3</v>
      </c>
      <c r="O29">
        <f t="shared" si="10"/>
        <v>6.8219283393851082E-3</v>
      </c>
      <c r="P29">
        <f t="shared" si="11"/>
        <v>5.7724208187803772E-3</v>
      </c>
      <c r="Q29">
        <f t="shared" si="12"/>
        <v>3.6329998924296003E-3</v>
      </c>
      <c r="R29">
        <f t="shared" si="5"/>
        <v>1.4058697320318281E-4</v>
      </c>
    </row>
    <row r="30" spans="1:18">
      <c r="A30" s="1">
        <v>45334</v>
      </c>
      <c r="B30" t="s">
        <v>7</v>
      </c>
      <c r="C30">
        <v>501.17001340000002</v>
      </c>
      <c r="D30">
        <v>503.5</v>
      </c>
      <c r="E30">
        <v>500.23999020000002</v>
      </c>
      <c r="F30">
        <v>500.98001099999999</v>
      </c>
      <c r="G30">
        <v>56502300</v>
      </c>
      <c r="H30">
        <f t="shared" si="7"/>
        <v>496.83000487999999</v>
      </c>
      <c r="I30">
        <f t="shared" si="8"/>
        <v>487.23500213500012</v>
      </c>
      <c r="K30">
        <f t="shared" si="1"/>
        <v>3.5123437678420367E-3</v>
      </c>
      <c r="L30">
        <f t="shared" si="9"/>
        <v>2.571958113986938E-3</v>
      </c>
      <c r="O30">
        <f t="shared" si="10"/>
        <v>8.7353993868553026E-3</v>
      </c>
      <c r="P30">
        <f t="shared" si="11"/>
        <v>8.7957797980728891E-3</v>
      </c>
      <c r="Q30">
        <f t="shared" si="12"/>
        <v>3.3411535207117371E-3</v>
      </c>
      <c r="R30">
        <f t="shared" si="5"/>
        <v>-2.9184637171786321E-4</v>
      </c>
    </row>
    <row r="31" spans="1:18">
      <c r="A31" s="1">
        <v>45335</v>
      </c>
      <c r="B31" t="s">
        <v>7</v>
      </c>
      <c r="C31">
        <v>494.52999879999999</v>
      </c>
      <c r="D31">
        <v>497.0899963</v>
      </c>
      <c r="E31">
        <v>490.72000120000001</v>
      </c>
      <c r="F31">
        <v>494.07998659999998</v>
      </c>
      <c r="G31">
        <v>113099200</v>
      </c>
      <c r="H31">
        <f t="shared" si="7"/>
        <v>498.51600952000001</v>
      </c>
      <c r="I31">
        <f t="shared" si="8"/>
        <v>488.45000305000013</v>
      </c>
      <c r="K31">
        <f t="shared" si="1"/>
        <v>2.8341227758707831E-3</v>
      </c>
      <c r="L31">
        <f t="shared" si="9"/>
        <v>2.7425113911951908E-3</v>
      </c>
      <c r="O31">
        <f t="shared" si="10"/>
        <v>-7.9957526817202584E-3</v>
      </c>
      <c r="P31">
        <f t="shared" si="11"/>
        <v>4.9426727185200026E-3</v>
      </c>
      <c r="Q31">
        <f t="shared" si="12"/>
        <v>3.4582253068662361E-3</v>
      </c>
      <c r="R31">
        <f t="shared" si="5"/>
        <v>1.1707178615449898E-4</v>
      </c>
    </row>
    <row r="32" spans="1:18">
      <c r="A32" s="1">
        <v>45336</v>
      </c>
      <c r="B32" t="s">
        <v>7</v>
      </c>
      <c r="C32">
        <v>496.7900085</v>
      </c>
      <c r="D32">
        <v>499.07000729999999</v>
      </c>
      <c r="E32">
        <v>494.39999390000003</v>
      </c>
      <c r="F32">
        <v>498.57000729999999</v>
      </c>
      <c r="G32">
        <v>68387800</v>
      </c>
      <c r="H32">
        <f t="shared" si="7"/>
        <v>498.53600463999993</v>
      </c>
      <c r="I32">
        <f t="shared" si="8"/>
        <v>489.40750274500004</v>
      </c>
      <c r="K32">
        <f t="shared" si="1"/>
        <v>-1.6141415180761589E-3</v>
      </c>
      <c r="L32">
        <f t="shared" si="9"/>
        <v>2.306843010421211E-3</v>
      </c>
      <c r="O32">
        <f t="shared" si="10"/>
        <v>-3.5022468262061457E-3</v>
      </c>
      <c r="P32">
        <f t="shared" si="11"/>
        <v>-8.9382070673464931E-3</v>
      </c>
      <c r="Q32">
        <f t="shared" si="12"/>
        <v>-1.5677911659848887E-2</v>
      </c>
      <c r="R32">
        <f t="shared" si="5"/>
        <v>-1.9136136966715123E-2</v>
      </c>
    </row>
    <row r="33" spans="1:18">
      <c r="A33" s="1">
        <v>45337</v>
      </c>
      <c r="B33" t="s">
        <v>7</v>
      </c>
      <c r="C33">
        <v>499.2900085</v>
      </c>
      <c r="D33">
        <v>502.2000122</v>
      </c>
      <c r="E33">
        <v>498.7999878</v>
      </c>
      <c r="F33">
        <v>502.01000979999998</v>
      </c>
      <c r="G33">
        <v>61683000</v>
      </c>
      <c r="H33">
        <f t="shared" si="7"/>
        <v>498.63000488</v>
      </c>
      <c r="I33">
        <f t="shared" si="8"/>
        <v>490.72150268500002</v>
      </c>
      <c r="K33">
        <f t="shared" si="1"/>
        <v>1.0033713129623323E-4</v>
      </c>
      <c r="L33">
        <f t="shared" si="9"/>
        <v>2.3169444851015844E-3</v>
      </c>
      <c r="O33">
        <f t="shared" si="10"/>
        <v>1.3236339841979916E-3</v>
      </c>
      <c r="P33">
        <f t="shared" si="11"/>
        <v>-1.2032484891166817E-4</v>
      </c>
      <c r="Q33">
        <f t="shared" si="12"/>
        <v>-8.4832660261148218E-3</v>
      </c>
      <c r="R33">
        <f t="shared" si="5"/>
        <v>7.1946456337340647E-3</v>
      </c>
    </row>
    <row r="34" spans="1:18">
      <c r="A34" s="1">
        <v>45338</v>
      </c>
      <c r="B34" t="s">
        <v>7</v>
      </c>
      <c r="C34">
        <v>501.7000122</v>
      </c>
      <c r="D34">
        <v>502.86999509999998</v>
      </c>
      <c r="E34">
        <v>498.75</v>
      </c>
      <c r="F34">
        <v>499.51000979999998</v>
      </c>
      <c r="G34">
        <v>75532900</v>
      </c>
      <c r="H34">
        <f t="shared" si="7"/>
        <v>499.36800538</v>
      </c>
      <c r="I34">
        <f t="shared" ref="I34:I97" si="13">AVERAGE(F14:F33)</f>
        <v>491.99750366500001</v>
      </c>
      <c r="K34">
        <f t="shared" si="1"/>
        <v>3.2322329620245534E-4</v>
      </c>
      <c r="L34">
        <f t="shared" si="9"/>
        <v>2.0293117546876728E-3</v>
      </c>
      <c r="O34">
        <f t="shared" si="10"/>
        <v>4.6699163640357977E-3</v>
      </c>
      <c r="P34">
        <f t="shared" si="11"/>
        <v>5.2906962230980792E-3</v>
      </c>
      <c r="Q34">
        <f t="shared" si="12"/>
        <v>-1.1374729135235073E-3</v>
      </c>
      <c r="R34">
        <f t="shared" si="5"/>
        <v>7.3457931125913145E-3</v>
      </c>
    </row>
    <row r="35" spans="1:18">
      <c r="A35" s="1">
        <v>45342</v>
      </c>
      <c r="B35" t="s">
        <v>7</v>
      </c>
      <c r="C35">
        <v>497.72000120000001</v>
      </c>
      <c r="D35">
        <v>498.4100037</v>
      </c>
      <c r="E35">
        <v>494.4500122</v>
      </c>
      <c r="F35">
        <v>496.76000979999998</v>
      </c>
      <c r="G35">
        <v>71736700</v>
      </c>
      <c r="H35">
        <f t="shared" si="7"/>
        <v>499.03000489999994</v>
      </c>
      <c r="I35">
        <f t="shared" si="13"/>
        <v>492.85150452000005</v>
      </c>
      <c r="K35">
        <f t="shared" si="1"/>
        <v>-5.8685024061768916E-4</v>
      </c>
      <c r="L35">
        <f t="shared" si="9"/>
        <v>1.6609780943966615E-3</v>
      </c>
      <c r="O35">
        <f t="shared" si="10"/>
        <v>-2.6251000684065495E-3</v>
      </c>
      <c r="P35">
        <f t="shared" si="11"/>
        <v>9.6187582968321195E-4</v>
      </c>
      <c r="Q35">
        <f t="shared" si="12"/>
        <v>-5.6109832525208514E-4</v>
      </c>
      <c r="R35">
        <f t="shared" si="5"/>
        <v>5.7637458827142218E-4</v>
      </c>
    </row>
    <row r="36" spans="1:18">
      <c r="A36" s="1">
        <v>45343</v>
      </c>
      <c r="B36" t="s">
        <v>7</v>
      </c>
      <c r="C36">
        <v>495.42001340000002</v>
      </c>
      <c r="D36">
        <v>497.36999509999998</v>
      </c>
      <c r="E36">
        <v>493.55999759999997</v>
      </c>
      <c r="F36">
        <v>497.2099915</v>
      </c>
      <c r="G36">
        <v>59293400</v>
      </c>
      <c r="H36">
        <f t="shared" si="7"/>
        <v>498.18600465999998</v>
      </c>
      <c r="I36">
        <f t="shared" si="13"/>
        <v>493.51700440000002</v>
      </c>
      <c r="K36">
        <f t="shared" si="1"/>
        <v>1.084853980199648E-3</v>
      </c>
      <c r="L36">
        <f t="shared" si="9"/>
        <v>1.2271609081313094E-3</v>
      </c>
      <c r="O36">
        <f t="shared" si="10"/>
        <v>-5.5521255798578473E-3</v>
      </c>
      <c r="P36">
        <f t="shared" si="11"/>
        <v>-2.8623743876008412E-3</v>
      </c>
      <c r="Q36">
        <f t="shared" si="12"/>
        <v>-7.4991919183874378E-3</v>
      </c>
      <c r="R36">
        <f t="shared" si="5"/>
        <v>-6.9380935931353527E-3</v>
      </c>
    </row>
    <row r="37" spans="1:18">
      <c r="A37" s="1">
        <v>45344</v>
      </c>
      <c r="B37" t="s">
        <v>7</v>
      </c>
      <c r="C37">
        <v>504.01000979999998</v>
      </c>
      <c r="D37">
        <v>508.48999020000002</v>
      </c>
      <c r="E37">
        <v>503.01998900000001</v>
      </c>
      <c r="F37">
        <v>507.5</v>
      </c>
      <c r="G37">
        <v>76402500</v>
      </c>
      <c r="H37">
        <f t="shared" si="7"/>
        <v>498.81200564</v>
      </c>
      <c r="I37">
        <f t="shared" si="13"/>
        <v>494.13450470499993</v>
      </c>
      <c r="K37">
        <f t="shared" si="1"/>
        <v>-5.4556663260396849E-4</v>
      </c>
      <c r="L37">
        <f t="shared" si="9"/>
        <v>1.2175752018447094E-3</v>
      </c>
      <c r="O37">
        <f t="shared" si="10"/>
        <v>1.042076794709601E-2</v>
      </c>
      <c r="P37">
        <f t="shared" si="11"/>
        <v>-3.2116591459031563E-3</v>
      </c>
      <c r="Q37">
        <f t="shared" si="12"/>
        <v>-1.0529032943506267E-2</v>
      </c>
      <c r="R37">
        <f t="shared" si="5"/>
        <v>-3.029841025118829E-3</v>
      </c>
    </row>
    <row r="38" spans="1:18">
      <c r="A38" s="1">
        <v>45345</v>
      </c>
      <c r="B38" t="s">
        <v>7</v>
      </c>
      <c r="C38">
        <v>509.26998900000001</v>
      </c>
      <c r="D38">
        <v>510.13000490000002</v>
      </c>
      <c r="E38">
        <v>507.10000609999997</v>
      </c>
      <c r="F38">
        <v>507.85000609999997</v>
      </c>
      <c r="G38">
        <v>61321800</v>
      </c>
      <c r="H38">
        <f t="shared" si="7"/>
        <v>500.59800417999998</v>
      </c>
      <c r="I38">
        <f t="shared" si="13"/>
        <v>495.24000397499992</v>
      </c>
      <c r="K38">
        <f t="shared" si="1"/>
        <v>2.1872034791446593E-3</v>
      </c>
      <c r="L38">
        <f t="shared" si="9"/>
        <v>1.9947545486828804E-3</v>
      </c>
      <c r="O38">
        <f t="shared" si="10"/>
        <v>1.7323250887116615E-2</v>
      </c>
      <c r="P38">
        <f t="shared" si="11"/>
        <v>1.3787501672736013E-2</v>
      </c>
      <c r="Q38">
        <f t="shared" si="12"/>
        <v>4.8381831325263747E-3</v>
      </c>
      <c r="R38">
        <f t="shared" si="5"/>
        <v>1.5367216076032642E-2</v>
      </c>
    </row>
    <row r="39" spans="1:18">
      <c r="A39" s="1">
        <v>45348</v>
      </c>
      <c r="B39" t="s">
        <v>7</v>
      </c>
      <c r="C39">
        <v>508.2999878</v>
      </c>
      <c r="D39">
        <v>508.75</v>
      </c>
      <c r="E39">
        <v>505.85998540000003</v>
      </c>
      <c r="F39">
        <v>505.98999020000002</v>
      </c>
      <c r="G39">
        <v>50386700</v>
      </c>
      <c r="H39">
        <f t="shared" si="7"/>
        <v>501.76600343999996</v>
      </c>
      <c r="I39">
        <f t="shared" si="13"/>
        <v>496.23100433999991</v>
      </c>
      <c r="K39">
        <f t="shared" si="1"/>
        <v>3.339270940071558E-3</v>
      </c>
      <c r="L39">
        <f t="shared" si="9"/>
        <v>2.0967975877430652E-3</v>
      </c>
      <c r="O39">
        <f t="shared" si="10"/>
        <v>1.3021975014657183E-2</v>
      </c>
      <c r="P39">
        <f t="shared" si="11"/>
        <v>1.2125179103983585E-2</v>
      </c>
      <c r="Q39">
        <f t="shared" si="12"/>
        <v>1.0630458467555171E-2</v>
      </c>
      <c r="R39">
        <f t="shared" si="5"/>
        <v>5.7922753350287959E-3</v>
      </c>
    </row>
    <row r="40" spans="1:18">
      <c r="A40" s="1">
        <v>45349</v>
      </c>
      <c r="B40" t="s">
        <v>7</v>
      </c>
      <c r="C40">
        <v>506.7000122</v>
      </c>
      <c r="D40">
        <v>507.1600037</v>
      </c>
      <c r="E40">
        <v>504.75</v>
      </c>
      <c r="F40">
        <v>506.92999270000001</v>
      </c>
      <c r="G40">
        <v>48854500</v>
      </c>
      <c r="H40">
        <f t="shared" si="7"/>
        <v>503.06199951999997</v>
      </c>
      <c r="I40">
        <f t="shared" si="13"/>
        <v>497.16000366500003</v>
      </c>
      <c r="K40">
        <f t="shared" si="1"/>
        <v>3.7160722352494189E-3</v>
      </c>
      <c r="L40">
        <f t="shared" si="9"/>
        <v>1.4981579914909082E-3</v>
      </c>
      <c r="O40">
        <f t="shared" si="10"/>
        <v>7.2317382021922505E-3</v>
      </c>
      <c r="P40">
        <f t="shared" si="11"/>
        <v>5.8203376180148148E-3</v>
      </c>
      <c r="Q40">
        <f t="shared" si="12"/>
        <v>5.561910624674038E-3</v>
      </c>
      <c r="R40">
        <f t="shared" si="5"/>
        <v>-5.0685478428811326E-3</v>
      </c>
    </row>
    <row r="41" spans="1:18">
      <c r="A41" s="1">
        <v>45350</v>
      </c>
      <c r="B41" t="s">
        <v>7</v>
      </c>
      <c r="C41">
        <v>505.32998659999998</v>
      </c>
      <c r="D41">
        <v>506.85998540000003</v>
      </c>
      <c r="E41">
        <v>504.9599915</v>
      </c>
      <c r="F41">
        <v>506.26000979999998</v>
      </c>
      <c r="G41">
        <v>56506600</v>
      </c>
      <c r="H41">
        <f t="shared" si="7"/>
        <v>505.09599609999998</v>
      </c>
      <c r="I41">
        <f t="shared" si="13"/>
        <v>497.94300384999997</v>
      </c>
      <c r="K41">
        <f t="shared" si="1"/>
        <v>3.9098173271524105E-3</v>
      </c>
      <c r="L41">
        <f t="shared" si="9"/>
        <v>1.6337649598627672E-3</v>
      </c>
      <c r="O41">
        <f t="shared" si="10"/>
        <v>4.6325946316483346E-4</v>
      </c>
      <c r="P41">
        <f t="shared" si="11"/>
        <v>3.6309862168000251E-3</v>
      </c>
      <c r="Q41">
        <f t="shared" si="12"/>
        <v>-6.8501057753678207E-4</v>
      </c>
      <c r="R41">
        <f t="shared" si="5"/>
        <v>-6.24692120221082E-3</v>
      </c>
    </row>
    <row r="42" spans="1:18">
      <c r="A42" s="1">
        <v>45351</v>
      </c>
      <c r="B42" t="s">
        <v>7</v>
      </c>
      <c r="C42">
        <v>508.07000729999999</v>
      </c>
      <c r="D42">
        <v>509.73999020000002</v>
      </c>
      <c r="E42">
        <v>505.35000609999997</v>
      </c>
      <c r="F42">
        <v>508.07998659999998</v>
      </c>
      <c r="G42">
        <v>83924800</v>
      </c>
      <c r="H42">
        <f t="shared" si="7"/>
        <v>506.90599975999993</v>
      </c>
      <c r="I42">
        <f t="shared" si="13"/>
        <v>498.71150361000002</v>
      </c>
      <c r="K42">
        <f t="shared" si="1"/>
        <v>-4.8866608866995963E-4</v>
      </c>
      <c r="L42">
        <f t="shared" si="9"/>
        <v>2.4208918015606947E-3</v>
      </c>
      <c r="O42">
        <f t="shared" si="10"/>
        <v>2.2962986047732059E-3</v>
      </c>
      <c r="P42">
        <f t="shared" si="11"/>
        <v>-1.2743782087917266E-3</v>
      </c>
      <c r="Q42">
        <f t="shared" si="12"/>
        <v>-3.8389923593749042E-3</v>
      </c>
      <c r="R42">
        <f t="shared" si="5"/>
        <v>-3.1539817818381222E-3</v>
      </c>
    </row>
    <row r="43" spans="1:18">
      <c r="A43" s="1">
        <v>45352</v>
      </c>
      <c r="B43" t="s">
        <v>7</v>
      </c>
      <c r="C43">
        <v>508.98001099999999</v>
      </c>
      <c r="D43">
        <v>513.28997800000002</v>
      </c>
      <c r="E43">
        <v>508.55999759999997</v>
      </c>
      <c r="F43">
        <v>512.84997559999999</v>
      </c>
      <c r="G43">
        <v>76844800</v>
      </c>
      <c r="H43">
        <f t="shared" si="7"/>
        <v>507.02199708000001</v>
      </c>
      <c r="I43">
        <f t="shared" si="13"/>
        <v>499.97150269499997</v>
      </c>
      <c r="K43">
        <f t="shared" si="1"/>
        <v>9.0570246032339503E-5</v>
      </c>
      <c r="L43">
        <f t="shared" si="9"/>
        <v>1.9296784473792354E-3</v>
      </c>
      <c r="O43">
        <f t="shared" si="10"/>
        <v>3.8617928438537952E-3</v>
      </c>
      <c r="P43">
        <f t="shared" si="11"/>
        <v>2.0866738052649492E-3</v>
      </c>
      <c r="Q43">
        <f t="shared" si="12"/>
        <v>-3.2976695086786023E-3</v>
      </c>
      <c r="R43">
        <f t="shared" si="5"/>
        <v>5.4132285069630193E-4</v>
      </c>
    </row>
    <row r="44" spans="1:18">
      <c r="A44" s="1">
        <v>45355</v>
      </c>
      <c r="B44" t="s">
        <v>7</v>
      </c>
      <c r="C44">
        <v>512.03002930000002</v>
      </c>
      <c r="D44">
        <v>514.20001219999995</v>
      </c>
      <c r="E44">
        <v>512</v>
      </c>
      <c r="F44">
        <v>512.29998780000005</v>
      </c>
      <c r="G44">
        <v>49799300</v>
      </c>
      <c r="H44">
        <f t="shared" si="7"/>
        <v>508.02199098</v>
      </c>
      <c r="I44">
        <f t="shared" si="13"/>
        <v>501.15400086499994</v>
      </c>
      <c r="K44">
        <f t="shared" si="1"/>
        <v>2.7115103195177676E-3</v>
      </c>
      <c r="L44">
        <f t="shared" si="9"/>
        <v>1.8711408184202329E-3</v>
      </c>
      <c r="O44">
        <f t="shared" si="10"/>
        <v>7.889497681524249E-3</v>
      </c>
      <c r="P44">
        <f t="shared" si="11"/>
        <v>9.503495332331191E-3</v>
      </c>
      <c r="Q44">
        <f t="shared" si="12"/>
        <v>1.0590223052393544E-3</v>
      </c>
      <c r="R44">
        <f t="shared" si="5"/>
        <v>4.3566918139179567E-3</v>
      </c>
    </row>
    <row r="45" spans="1:18">
      <c r="A45" s="1">
        <v>45356</v>
      </c>
      <c r="B45" t="s">
        <v>7</v>
      </c>
      <c r="C45">
        <v>510.23999020000002</v>
      </c>
      <c r="D45">
        <v>510.7000122</v>
      </c>
      <c r="E45">
        <v>504.9100037</v>
      </c>
      <c r="F45">
        <v>507.17999270000001</v>
      </c>
      <c r="G45">
        <v>72855600</v>
      </c>
      <c r="H45">
        <f t="shared" si="7"/>
        <v>509.28399049999996</v>
      </c>
      <c r="I45">
        <f t="shared" si="13"/>
        <v>502.05149994999994</v>
      </c>
      <c r="K45">
        <f t="shared" si="1"/>
        <v>2.1186338063757023E-3</v>
      </c>
      <c r="L45">
        <f t="shared" si="9"/>
        <v>2.004872651425133E-3</v>
      </c>
      <c r="O45">
        <f t="shared" si="10"/>
        <v>1.8771446144645321E-3</v>
      </c>
      <c r="P45">
        <f t="shared" si="11"/>
        <v>5.9220343781847262E-3</v>
      </c>
      <c r="Q45">
        <f t="shared" si="12"/>
        <v>5.3329960310228852E-3</v>
      </c>
      <c r="R45">
        <f t="shared" si="5"/>
        <v>4.2739737257835309E-3</v>
      </c>
    </row>
    <row r="46" spans="1:18">
      <c r="A46" s="1">
        <v>45357</v>
      </c>
      <c r="B46" t="s">
        <v>7</v>
      </c>
      <c r="C46">
        <v>510.5499878</v>
      </c>
      <c r="D46">
        <v>512.07000730000004</v>
      </c>
      <c r="E46">
        <v>508.42001340000002</v>
      </c>
      <c r="F46">
        <v>509.75</v>
      </c>
      <c r="G46">
        <v>68382400</v>
      </c>
      <c r="H46">
        <f t="shared" si="7"/>
        <v>509.33399050000008</v>
      </c>
      <c r="I46">
        <f t="shared" si="13"/>
        <v>502.783000195</v>
      </c>
      <c r="K46">
        <f t="shared" si="1"/>
        <v>3.634428484143866E-4</v>
      </c>
      <c r="L46">
        <f t="shared" si="9"/>
        <v>1.3360845991802716E-3</v>
      </c>
      <c r="O46">
        <f t="shared" si="10"/>
        <v>2.3874261735530311E-3</v>
      </c>
      <c r="P46">
        <f t="shared" si="11"/>
        <v>-4.229047815728082E-3</v>
      </c>
      <c r="Q46">
        <f t="shared" si="12"/>
        <v>-8.6858267512387455E-3</v>
      </c>
      <c r="R46">
        <f t="shared" si="5"/>
        <v>-1.4018822782261631E-2</v>
      </c>
    </row>
    <row r="47" spans="1:18">
      <c r="A47" s="1">
        <v>45358</v>
      </c>
      <c r="B47" t="s">
        <v>7</v>
      </c>
      <c r="C47">
        <v>513.14001459999997</v>
      </c>
      <c r="D47">
        <v>515.89001459999997</v>
      </c>
      <c r="E47">
        <v>509.80999759999997</v>
      </c>
      <c r="F47">
        <v>514.80999759999997</v>
      </c>
      <c r="G47">
        <v>58652100</v>
      </c>
      <c r="H47">
        <f t="shared" si="7"/>
        <v>510.03198854000004</v>
      </c>
      <c r="I47">
        <f t="shared" si="13"/>
        <v>503.57149964499985</v>
      </c>
      <c r="K47">
        <f t="shared" si="1"/>
        <v>6.5738208315407648E-4</v>
      </c>
      <c r="L47">
        <f t="shared" si="9"/>
        <v>1.1694432601212557E-3</v>
      </c>
      <c r="O47">
        <f t="shared" si="10"/>
        <v>6.0937865267958191E-3</v>
      </c>
      <c r="P47">
        <f t="shared" si="11"/>
        <v>-5.5288402754349875E-4</v>
      </c>
      <c r="Q47">
        <f t="shared" si="12"/>
        <v>-3.1605373314219642E-3</v>
      </c>
      <c r="R47">
        <f t="shared" si="5"/>
        <v>5.5252894198167812E-3</v>
      </c>
    </row>
    <row r="48" spans="1:18">
      <c r="A48" s="1">
        <v>45359</v>
      </c>
      <c r="B48" t="s">
        <v>7</v>
      </c>
      <c r="C48">
        <v>515.46002199999998</v>
      </c>
      <c r="D48">
        <v>518.21997069999998</v>
      </c>
      <c r="E48">
        <v>511.13000490000002</v>
      </c>
      <c r="F48">
        <v>511.72000120000001</v>
      </c>
      <c r="G48">
        <v>86532500</v>
      </c>
      <c r="H48">
        <f t="shared" si="7"/>
        <v>511.37799074000003</v>
      </c>
      <c r="I48">
        <f t="shared" si="13"/>
        <v>504.40699921999993</v>
      </c>
      <c r="K48">
        <f t="shared" si="1"/>
        <v>7.6436466540020283E-4</v>
      </c>
      <c r="L48">
        <f t="shared" si="9"/>
        <v>1.6545583218047111E-3</v>
      </c>
      <c r="O48">
        <f t="shared" si="10"/>
        <v>7.9824148358300651E-3</v>
      </c>
      <c r="P48">
        <f t="shared" si="11"/>
        <v>6.7112916905820441E-3</v>
      </c>
      <c r="Q48">
        <f t="shared" si="12"/>
        <v>-3.066211625046833E-3</v>
      </c>
      <c r="R48">
        <f t="shared" si="5"/>
        <v>9.4325706375131269E-5</v>
      </c>
    </row>
    <row r="49" spans="1:19">
      <c r="A49" s="1">
        <v>45362</v>
      </c>
      <c r="B49" t="s">
        <v>7</v>
      </c>
      <c r="C49">
        <v>510.48001099999999</v>
      </c>
      <c r="D49">
        <v>511.88000490000002</v>
      </c>
      <c r="E49">
        <v>508.5</v>
      </c>
      <c r="F49">
        <v>511.27999879999999</v>
      </c>
      <c r="G49">
        <v>62557200</v>
      </c>
      <c r="H49">
        <f t="shared" si="7"/>
        <v>511.15199586</v>
      </c>
      <c r="I49">
        <f t="shared" si="13"/>
        <v>505.07699891499988</v>
      </c>
      <c r="K49">
        <f t="shared" si="1"/>
        <v>-2.2642460035601845E-4</v>
      </c>
      <c r="L49">
        <f t="shared" si="9"/>
        <v>1.0494801220996468E-3</v>
      </c>
      <c r="O49">
        <f t="shared" si="10"/>
        <v>-1.3146478257791694E-3</v>
      </c>
      <c r="P49">
        <f t="shared" si="11"/>
        <v>1.1112259065806374E-3</v>
      </c>
      <c r="Q49">
        <f t="shared" si="12"/>
        <v>-4.3022349864751952E-5</v>
      </c>
      <c r="R49">
        <f t="shared" si="5"/>
        <v>3.023189275182081E-3</v>
      </c>
    </row>
    <row r="50" spans="1:19">
      <c r="A50" s="1">
        <v>45363</v>
      </c>
      <c r="B50" t="s">
        <v>7</v>
      </c>
      <c r="C50">
        <v>513.45001219999995</v>
      </c>
      <c r="D50">
        <v>517.38000490000002</v>
      </c>
      <c r="E50">
        <v>510.85998540000003</v>
      </c>
      <c r="F50">
        <v>516.78002930000002</v>
      </c>
      <c r="G50">
        <v>73114400</v>
      </c>
      <c r="H50">
        <f t="shared" si="7"/>
        <v>510.94799806000003</v>
      </c>
      <c r="I50">
        <f t="shared" si="13"/>
        <v>505.58099824499993</v>
      </c>
      <c r="K50">
        <f t="shared" si="1"/>
        <v>1.6167854249034431E-3</v>
      </c>
      <c r="L50">
        <f t="shared" si="9"/>
        <v>1.027983908922865E-3</v>
      </c>
      <c r="O50">
        <f t="shared" si="10"/>
        <v>4.8968077955089395E-3</v>
      </c>
      <c r="P50">
        <f t="shared" si="11"/>
        <v>6.4977403035237913E-4</v>
      </c>
      <c r="Q50">
        <f t="shared" si="12"/>
        <v>-4.7910904226942108E-3</v>
      </c>
      <c r="R50">
        <f t="shared" si="5"/>
        <v>-4.7480680728294589E-3</v>
      </c>
    </row>
    <row r="51" spans="1:19">
      <c r="A51" s="1">
        <v>45364</v>
      </c>
      <c r="B51" t="s">
        <v>7</v>
      </c>
      <c r="C51">
        <v>517.10998540000003</v>
      </c>
      <c r="D51">
        <v>517.28997800000002</v>
      </c>
      <c r="E51">
        <v>514.48999019999997</v>
      </c>
      <c r="F51">
        <v>515.96997069999998</v>
      </c>
      <c r="G51">
        <v>55104100</v>
      </c>
      <c r="H51">
        <f t="shared" si="7"/>
        <v>512.86800538</v>
      </c>
      <c r="I51">
        <f t="shared" si="13"/>
        <v>506.37099916</v>
      </c>
      <c r="K51">
        <f t="shared" si="1"/>
        <v>2.7582263070132511E-3</v>
      </c>
      <c r="L51">
        <f t="shared" si="9"/>
        <v>2.2972032176621702E-3</v>
      </c>
      <c r="O51">
        <f t="shared" si="10"/>
        <v>8.2710950488265045E-3</v>
      </c>
      <c r="P51">
        <f t="shared" si="11"/>
        <v>7.6277402352316059E-3</v>
      </c>
      <c r="Q51">
        <f t="shared" si="12"/>
        <v>-3.9152763653333977E-3</v>
      </c>
      <c r="R51">
        <f t="shared" si="5"/>
        <v>8.7581405736081308E-4</v>
      </c>
    </row>
    <row r="52" spans="1:19">
      <c r="A52" s="1">
        <v>45365</v>
      </c>
      <c r="B52" t="s">
        <v>7</v>
      </c>
      <c r="C52">
        <v>516.96997069999998</v>
      </c>
      <c r="D52">
        <v>517.13000490000002</v>
      </c>
      <c r="E52">
        <v>511.82000729999999</v>
      </c>
      <c r="F52">
        <v>514.95001219999995</v>
      </c>
      <c r="G52">
        <v>110171800</v>
      </c>
      <c r="H52">
        <f t="shared" si="7"/>
        <v>514.11199951999993</v>
      </c>
      <c r="I52">
        <f t="shared" si="13"/>
        <v>507.46549836500009</v>
      </c>
      <c r="K52">
        <f t="shared" si="1"/>
        <v>4.5064124838588873E-4</v>
      </c>
      <c r="L52">
        <f t="shared" si="9"/>
        <v>1.744986977278205E-3</v>
      </c>
      <c r="O52">
        <f t="shared" si="10"/>
        <v>5.5590439100203781E-3</v>
      </c>
      <c r="P52">
        <f t="shared" si="11"/>
        <v>3.6139424517123153E-3</v>
      </c>
      <c r="Q52">
        <f t="shared" si="12"/>
        <v>7.3523022289490036E-4</v>
      </c>
      <c r="R52">
        <f t="shared" si="5"/>
        <v>4.6505065882282981E-3</v>
      </c>
    </row>
    <row r="53" spans="1:19">
      <c r="A53" s="1">
        <v>45366</v>
      </c>
      <c r="B53" t="s">
        <v>7</v>
      </c>
      <c r="C53">
        <v>510.2099915</v>
      </c>
      <c r="D53">
        <v>511.7000122</v>
      </c>
      <c r="E53">
        <v>508.11999509999998</v>
      </c>
      <c r="F53">
        <v>509.82998659999998</v>
      </c>
      <c r="G53">
        <v>107646300</v>
      </c>
      <c r="H53">
        <f t="shared" si="7"/>
        <v>514.14000243999999</v>
      </c>
      <c r="I53">
        <f t="shared" si="13"/>
        <v>508.28449861000007</v>
      </c>
      <c r="K53">
        <f t="shared" si="1"/>
        <v>1.2624134262586777E-3</v>
      </c>
      <c r="L53">
        <f t="shared" si="9"/>
        <v>1.2888191617090709E-3</v>
      </c>
      <c r="O53">
        <f t="shared" si="10"/>
        <v>-7.6438536611603825E-3</v>
      </c>
      <c r="P53">
        <f t="shared" si="11"/>
        <v>1.575465352152694E-3</v>
      </c>
      <c r="Q53">
        <f t="shared" si="12"/>
        <v>-4.5123801474108438E-3</v>
      </c>
      <c r="R53">
        <f t="shared" si="5"/>
        <v>-5.2476103703057442E-3</v>
      </c>
    </row>
    <row r="54" spans="1:19">
      <c r="A54" s="1">
        <v>45369</v>
      </c>
      <c r="B54" t="s">
        <v>7</v>
      </c>
      <c r="C54">
        <v>514</v>
      </c>
      <c r="D54">
        <v>515.47998050000001</v>
      </c>
      <c r="E54">
        <v>512.44000240000003</v>
      </c>
      <c r="F54">
        <v>512.85998540000003</v>
      </c>
      <c r="G54">
        <v>88893300</v>
      </c>
      <c r="H54">
        <f t="shared" si="7"/>
        <v>513.7619995199999</v>
      </c>
      <c r="I54">
        <f t="shared" si="13"/>
        <v>508.67549745000008</v>
      </c>
      <c r="K54">
        <f t="shared" si="1"/>
        <v>-5.6720865412425881E-4</v>
      </c>
      <c r="L54">
        <f t="shared" si="9"/>
        <v>1.0330100095623756E-3</v>
      </c>
      <c r="O54">
        <f t="shared" si="10"/>
        <v>4.6325045492356942E-4</v>
      </c>
      <c r="P54">
        <f t="shared" si="11"/>
        <v>-7.6533743711554303E-3</v>
      </c>
      <c r="Q54">
        <f t="shared" si="12"/>
        <v>-1.0981747239521722E-2</v>
      </c>
      <c r="R54">
        <f t="shared" si="5"/>
        <v>-6.4693670921108781E-3</v>
      </c>
    </row>
    <row r="55" spans="1:19">
      <c r="A55" s="1">
        <v>45370</v>
      </c>
      <c r="B55" t="s">
        <v>7</v>
      </c>
      <c r="C55">
        <v>512.15002440000001</v>
      </c>
      <c r="D55">
        <v>516</v>
      </c>
      <c r="E55">
        <v>511.11999509999998</v>
      </c>
      <c r="F55">
        <v>515.71002199999998</v>
      </c>
      <c r="G55">
        <v>60755300</v>
      </c>
      <c r="H55">
        <f t="shared" si="7"/>
        <v>514.07799683999997</v>
      </c>
      <c r="I55">
        <f t="shared" si="13"/>
        <v>509.34299623000004</v>
      </c>
      <c r="K55">
        <f t="shared" si="1"/>
        <v>-1.5171034783638439E-3</v>
      </c>
      <c r="L55">
        <f t="shared" si="9"/>
        <v>1.6204983575954558E-3</v>
      </c>
      <c r="O55">
        <f t="shared" si="10"/>
        <v>-3.750350047757478E-3</v>
      </c>
      <c r="P55">
        <f t="shared" si="11"/>
        <v>-2.3693125313415386E-3</v>
      </c>
      <c r="Q55">
        <f t="shared" si="12"/>
        <v>-3.1862761099844539E-3</v>
      </c>
      <c r="R55">
        <f t="shared" si="5"/>
        <v>7.7954711295372681E-3</v>
      </c>
    </row>
    <row r="56" spans="1:19">
      <c r="A56" s="1">
        <v>45371</v>
      </c>
      <c r="B56" t="s">
        <v>7</v>
      </c>
      <c r="C56">
        <v>515.77001949999999</v>
      </c>
      <c r="D56">
        <v>520.61999509999998</v>
      </c>
      <c r="E56">
        <v>515.08001709999996</v>
      </c>
      <c r="F56">
        <v>520.47998050000001</v>
      </c>
      <c r="G56">
        <v>69594600</v>
      </c>
      <c r="H56">
        <f t="shared" si="7"/>
        <v>513.86399538000001</v>
      </c>
      <c r="I56">
        <f t="shared" si="13"/>
        <v>510.29049684</v>
      </c>
      <c r="K56">
        <f t="shared" si="1"/>
        <v>-1.0076117400682496E-4</v>
      </c>
      <c r="L56">
        <f t="shared" si="9"/>
        <v>1.8603840244831422E-3</v>
      </c>
      <c r="O56">
        <f t="shared" si="10"/>
        <v>3.7091995880942363E-3</v>
      </c>
      <c r="P56">
        <f t="shared" si="11"/>
        <v>3.5924420403006252E-3</v>
      </c>
      <c r="Q56">
        <f t="shared" si="12"/>
        <v>-5.3399348945840641E-3</v>
      </c>
      <c r="R56">
        <f t="shared" si="5"/>
        <v>-2.1536587845996102E-3</v>
      </c>
    </row>
    <row r="57" spans="1:19">
      <c r="A57" s="1">
        <v>45372</v>
      </c>
      <c r="B57" t="s">
        <v>7</v>
      </c>
      <c r="C57">
        <v>523.39001459999997</v>
      </c>
      <c r="D57">
        <v>524.10998540000003</v>
      </c>
      <c r="E57">
        <v>521.9099731</v>
      </c>
      <c r="F57">
        <v>522.20001219999995</v>
      </c>
      <c r="G57">
        <v>60256100</v>
      </c>
      <c r="H57">
        <f t="shared" si="7"/>
        <v>514.76599734000013</v>
      </c>
      <c r="I57">
        <f t="shared" si="13"/>
        <v>511.45399629000002</v>
      </c>
      <c r="K57">
        <f t="shared" si="1"/>
        <v>2.1477689752349384E-3</v>
      </c>
      <c r="L57">
        <f t="shared" si="9"/>
        <v>1.2788158128078828E-3</v>
      </c>
      <c r="O57">
        <f t="shared" si="10"/>
        <v>1.6753276837560227E-2</v>
      </c>
      <c r="P57">
        <f t="shared" si="11"/>
        <v>1.1100156555651219E-2</v>
      </c>
      <c r="Q57">
        <f t="shared" si="12"/>
        <v>6.100242860300753E-4</v>
      </c>
      <c r="R57">
        <f t="shared" si="5"/>
        <v>5.9499591806141394E-3</v>
      </c>
    </row>
    <row r="58" spans="1:19">
      <c r="A58" s="1">
        <v>45373</v>
      </c>
      <c r="B58" t="s">
        <v>7</v>
      </c>
      <c r="C58">
        <v>522.10998540000003</v>
      </c>
      <c r="D58">
        <v>522.60998540000003</v>
      </c>
      <c r="E58">
        <v>520.96997069999998</v>
      </c>
      <c r="F58">
        <v>521.21002199999998</v>
      </c>
      <c r="G58">
        <v>79070800</v>
      </c>
      <c r="H58">
        <f t="shared" si="7"/>
        <v>516.21599733999994</v>
      </c>
      <c r="I58">
        <f t="shared" si="13"/>
        <v>512.18899690000001</v>
      </c>
      <c r="K58">
        <f t="shared" si="1"/>
        <v>4.8526080949040677E-3</v>
      </c>
      <c r="L58">
        <f t="shared" si="9"/>
        <v>1.4128193292936907E-3</v>
      </c>
      <c r="O58">
        <f t="shared" si="10"/>
        <v>1.1417678046343305E-2</v>
      </c>
      <c r="P58">
        <f t="shared" si="11"/>
        <v>1.1592075586256412E-2</v>
      </c>
      <c r="Q58">
        <f t="shared" si="12"/>
        <v>1.1030219499861271E-2</v>
      </c>
      <c r="R58">
        <f t="shared" si="5"/>
        <v>1.0420195213831196E-2</v>
      </c>
    </row>
    <row r="59" spans="1:19">
      <c r="A59" s="1">
        <v>45376</v>
      </c>
      <c r="B59" t="s">
        <v>7</v>
      </c>
      <c r="C59">
        <v>519.79998780000005</v>
      </c>
      <c r="D59">
        <v>520.95001219999995</v>
      </c>
      <c r="E59">
        <v>519.60998540000003</v>
      </c>
      <c r="F59">
        <v>519.77001949999999</v>
      </c>
      <c r="G59">
        <v>48512100</v>
      </c>
      <c r="H59">
        <f t="shared" si="7"/>
        <v>518.49200442000006</v>
      </c>
      <c r="I59">
        <f t="shared" si="13"/>
        <v>512.85699769500002</v>
      </c>
      <c r="K59">
        <f t="shared" si="1"/>
        <v>3.256263634405958E-3</v>
      </c>
      <c r="L59">
        <f t="shared" si="9"/>
        <v>1.5039854636238967E-3</v>
      </c>
      <c r="O59">
        <f t="shared" si="10"/>
        <v>2.5226683706784936E-3</v>
      </c>
      <c r="P59">
        <f t="shared" si="11"/>
        <v>5.2421591014510938E-3</v>
      </c>
      <c r="Q59">
        <f t="shared" si="12"/>
        <v>4.7791793487188539E-3</v>
      </c>
      <c r="R59">
        <f t="shared" si="5"/>
        <v>-6.2510401511424174E-3</v>
      </c>
    </row>
    <row r="60" spans="1:19">
      <c r="A60" s="1">
        <v>45377</v>
      </c>
      <c r="B60" t="s">
        <v>7</v>
      </c>
      <c r="C60">
        <v>521.22998050000001</v>
      </c>
      <c r="D60">
        <v>521.58001709999996</v>
      </c>
      <c r="E60">
        <v>518.40002440000001</v>
      </c>
      <c r="F60">
        <v>518.80999759999997</v>
      </c>
      <c r="G60">
        <v>65463700</v>
      </c>
      <c r="H60">
        <f t="shared" si="7"/>
        <v>519.87401123999985</v>
      </c>
      <c r="I60">
        <f t="shared" si="13"/>
        <v>513.54599915999984</v>
      </c>
      <c r="K60">
        <f t="shared" si="1"/>
        <v>1.5745272834740483E-3</v>
      </c>
      <c r="L60">
        <f t="shared" si="9"/>
        <v>1.2664497055709498E-3</v>
      </c>
      <c r="O60">
        <f t="shared" si="10"/>
        <v>2.6082651386361011E-3</v>
      </c>
      <c r="P60">
        <f t="shared" si="11"/>
        <v>-2.0003258049350325E-4</v>
      </c>
      <c r="Q60">
        <f t="shared" si="12"/>
        <v>-5.0786504862987414E-4</v>
      </c>
      <c r="R60">
        <f t="shared" si="5"/>
        <v>-5.287044397348728E-3</v>
      </c>
    </row>
    <row r="61" spans="1:19">
      <c r="A61" s="1">
        <v>45378</v>
      </c>
      <c r="B61" t="s">
        <v>7</v>
      </c>
      <c r="C61">
        <v>521.71002199999998</v>
      </c>
      <c r="D61">
        <v>523.21002199999998</v>
      </c>
      <c r="E61">
        <v>519.48999019999997</v>
      </c>
      <c r="F61">
        <v>523.16998290000004</v>
      </c>
      <c r="G61">
        <v>82999800</v>
      </c>
      <c r="H61">
        <f t="shared" si="7"/>
        <v>520.49400635999996</v>
      </c>
      <c r="I61">
        <f t="shared" si="13"/>
        <v>514.13999940499991</v>
      </c>
      <c r="K61">
        <f t="shared" si="1"/>
        <v>-6.4170879287067466E-4</v>
      </c>
      <c r="L61">
        <f t="shared" si="9"/>
        <v>1.2394804603426922E-3</v>
      </c>
      <c r="O61">
        <f t="shared" si="10"/>
        <v>2.3362721282884635E-3</v>
      </c>
      <c r="P61">
        <f t="shared" si="11"/>
        <v>-3.2354047105688233E-3</v>
      </c>
      <c r="Q61">
        <f t="shared" si="12"/>
        <v>-4.0230664223088741E-3</v>
      </c>
      <c r="R61">
        <f t="shared" si="5"/>
        <v>-3.515201373679E-3</v>
      </c>
    </row>
    <row r="62" spans="1:19">
      <c r="A62" s="1">
        <v>45379</v>
      </c>
      <c r="B62" t="s">
        <v>7</v>
      </c>
      <c r="C62">
        <v>523.21002199999998</v>
      </c>
      <c r="D62">
        <v>524.60998540000003</v>
      </c>
      <c r="E62">
        <v>522.78002930000002</v>
      </c>
      <c r="F62">
        <v>523.07000730000004</v>
      </c>
      <c r="G62">
        <v>96294900</v>
      </c>
      <c r="H62">
        <f t="shared" si="7"/>
        <v>521.03200683999989</v>
      </c>
      <c r="I62">
        <f t="shared" si="13"/>
        <v>514.98549805999994</v>
      </c>
      <c r="K62">
        <f t="shared" si="1"/>
        <v>3.7149393999960157E-4</v>
      </c>
      <c r="L62">
        <f t="shared" si="9"/>
        <v>1.4850020368820461E-3</v>
      </c>
      <c r="O62">
        <f t="shared" si="10"/>
        <v>4.1801945588899603E-3</v>
      </c>
      <c r="P62">
        <f t="shared" si="11"/>
        <v>4.1033487999455609E-3</v>
      </c>
      <c r="Q62">
        <f t="shared" si="12"/>
        <v>-2.9595430218425367E-3</v>
      </c>
      <c r="R62">
        <f t="shared" si="5"/>
        <v>1.0635234004663374E-3</v>
      </c>
    </row>
    <row r="63" spans="1:19">
      <c r="A63" s="1">
        <v>45383</v>
      </c>
      <c r="B63" t="s">
        <v>7</v>
      </c>
      <c r="C63">
        <v>523.83001709999996</v>
      </c>
      <c r="D63">
        <v>524.38000490000002</v>
      </c>
      <c r="E63">
        <v>520.96997069999998</v>
      </c>
      <c r="F63">
        <v>522.1599731</v>
      </c>
      <c r="G63">
        <v>62477500</v>
      </c>
      <c r="H63">
        <f t="shared" si="7"/>
        <v>521.20600586</v>
      </c>
      <c r="I63">
        <f t="shared" si="13"/>
        <v>515.73499909500003</v>
      </c>
      <c r="K63">
        <f t="shared" si="1"/>
        <v>7.1371816407630865E-4</v>
      </c>
      <c r="L63">
        <f t="shared" si="9"/>
        <v>9.9639584539740872E-4</v>
      </c>
      <c r="O63">
        <f t="shared" si="10"/>
        <v>5.0344992392601373E-3</v>
      </c>
      <c r="P63">
        <f t="shared" si="11"/>
        <v>3.57632379336148E-3</v>
      </c>
      <c r="Q63">
        <f t="shared" si="12"/>
        <v>3.019964126090402E-3</v>
      </c>
      <c r="R63">
        <f t="shared" si="5"/>
        <v>5.9795071479329387E-3</v>
      </c>
    </row>
    <row r="64" spans="1:19">
      <c r="A64" s="1">
        <v>45384</v>
      </c>
      <c r="B64" t="s">
        <v>7</v>
      </c>
      <c r="C64">
        <v>518.23999019999997</v>
      </c>
      <c r="D64">
        <v>518.97998050000001</v>
      </c>
      <c r="E64">
        <v>516.47998050000001</v>
      </c>
      <c r="F64">
        <v>518.8400269</v>
      </c>
      <c r="G64">
        <v>74230300</v>
      </c>
      <c r="H64">
        <f t="shared" si="7"/>
        <v>521.39599608000003</v>
      </c>
      <c r="I64">
        <f t="shared" si="13"/>
        <v>516.20049897000013</v>
      </c>
      <c r="J64" s="4">
        <f t="shared" ref="J64:J126" si="14">AVERAGE(F2:F63)</f>
        <v>498.24709739032255</v>
      </c>
      <c r="K64">
        <f t="shared" si="1"/>
        <v>9.1961964343347923E-4</v>
      </c>
      <c r="L64">
        <f t="shared" si="9"/>
        <v>9.6232534987383681E-4</v>
      </c>
      <c r="M64" s="3">
        <f>(F63-F2)/F2/60</f>
        <v>1.7458295369714581E-3</v>
      </c>
      <c r="N64" t="str">
        <f ca="1">IF(AND((F63-H64) / H64&lt;= -0.0155, G63/ AVERAGE(OFFSET(G63,-19,0,20,1)) &gt;= 1.58), "buy", "wait")</f>
        <v>wait</v>
      </c>
      <c r="O64">
        <f t="shared" si="10"/>
        <v>-6.0529921666598874E-3</v>
      </c>
      <c r="P64">
        <f t="shared" si="11"/>
        <v>1.465252947363993E-3</v>
      </c>
      <c r="Q64">
        <f t="shared" si="12"/>
        <v>-8.1708602137919861E-4</v>
      </c>
      <c r="R64">
        <f t="shared" si="5"/>
        <v>-3.8370501474696006E-3</v>
      </c>
      <c r="S64" s="3">
        <f t="shared" ref="S64:S86" si="15">(I64-J64)/J64</f>
        <v>3.6033128288578936E-2</v>
      </c>
    </row>
    <row r="65" spans="1:22">
      <c r="A65" s="1">
        <v>45385</v>
      </c>
      <c r="B65" t="s">
        <v>7</v>
      </c>
      <c r="C65">
        <v>517.71997069999998</v>
      </c>
      <c r="D65">
        <v>520.95001219999995</v>
      </c>
      <c r="E65">
        <v>517.66998290000004</v>
      </c>
      <c r="F65">
        <v>519.4099731</v>
      </c>
      <c r="G65">
        <v>59155800</v>
      </c>
      <c r="H65">
        <f t="shared" si="7"/>
        <v>521.20999756000003</v>
      </c>
      <c r="I65">
        <f t="shared" si="13"/>
        <v>516.52750092500014</v>
      </c>
      <c r="J65" s="4">
        <f t="shared" si="14"/>
        <v>498.99209792258068</v>
      </c>
      <c r="K65">
        <f t="shared" si="1"/>
        <v>1.1576222562764199E-5</v>
      </c>
      <c r="L65">
        <f t="shared" si="9"/>
        <v>1.1494966646778755E-3</v>
      </c>
      <c r="M65" s="3">
        <f t="shared" ref="M65:M128" si="16">(F64-F3)/F3/60</f>
        <v>1.7794043350079919E-3</v>
      </c>
      <c r="N65" t="str">
        <f t="shared" ref="N65:N128" ca="1" si="17">IF(AND((F64-H65) / H65&lt;= -0.0155, G64/ AVERAGE(OFFSET(G64,-19,0,20,1)) &gt;= 1.58), "buy", "wait")</f>
        <v>wait</v>
      </c>
      <c r="O65">
        <f t="shared" si="10"/>
        <v>-6.696009048825502E-3</v>
      </c>
      <c r="P65">
        <f t="shared" si="11"/>
        <v>-4.5470552581394763E-3</v>
      </c>
      <c r="Q65">
        <f t="shared" si="12"/>
        <v>-9.0750697073026521E-3</v>
      </c>
      <c r="R65">
        <f t="shared" si="5"/>
        <v>-8.2579836859234534E-3</v>
      </c>
      <c r="S65" s="3">
        <f>(I65-J65)/J65</f>
        <v>3.5141644678189074E-2</v>
      </c>
      <c r="T65" s="3">
        <f>S65-S64</f>
        <v>-8.9148361038986212E-4</v>
      </c>
      <c r="V65" t="str">
        <f>SIGN(M65)&amp;SIGN(S65)&amp;SIGN(T65)</f>
        <v>11-1</v>
      </c>
    </row>
    <row r="66" spans="1:22">
      <c r="A66" s="1">
        <v>45386</v>
      </c>
      <c r="B66" t="s">
        <v>7</v>
      </c>
      <c r="C66">
        <v>523.52001949999999</v>
      </c>
      <c r="D66">
        <v>523.86999509999998</v>
      </c>
      <c r="E66">
        <v>512.76000980000003</v>
      </c>
      <c r="F66">
        <v>513.07000730000004</v>
      </c>
      <c r="G66">
        <v>96858100</v>
      </c>
      <c r="H66">
        <f t="shared" si="7"/>
        <v>521.32999266000002</v>
      </c>
      <c r="I66">
        <f t="shared" si="13"/>
        <v>517.13899994500014</v>
      </c>
      <c r="J66" s="4">
        <f t="shared" si="14"/>
        <v>499.80854896451615</v>
      </c>
      <c r="K66">
        <f t="shared" si="1"/>
        <v>-1.4373950811007181E-3</v>
      </c>
      <c r="L66">
        <f t="shared" si="9"/>
        <v>9.4752065718489481E-4</v>
      </c>
      <c r="M66" s="3">
        <f t="shared" si="16"/>
        <v>1.8593410957695804E-3</v>
      </c>
      <c r="N66" t="str">
        <f t="shared" ca="1" si="17"/>
        <v>wait</v>
      </c>
      <c r="O66">
        <f t="shared" si="10"/>
        <v>4.2008456655748816E-3</v>
      </c>
      <c r="P66">
        <f t="shared" si="11"/>
        <v>-3.682925569279849E-3</v>
      </c>
      <c r="Q66">
        <f t="shared" si="12"/>
        <v>-7.0205240663890889E-3</v>
      </c>
      <c r="R66">
        <f t="shared" si="5"/>
        <v>2.0545456409135632E-3</v>
      </c>
      <c r="S66" s="3">
        <f t="shared" si="15"/>
        <v>3.4674178775830344E-2</v>
      </c>
      <c r="T66" s="3">
        <f t="shared" ref="T66:T129" si="18">S66-S65</f>
        <v>-4.6746590235872965E-4</v>
      </c>
      <c r="V66" t="str">
        <f t="shared" ref="V66:V129" si="19">SIGN(M66)&amp;SIGN(S66)&amp;SIGN(T66)</f>
        <v>11-1</v>
      </c>
    </row>
    <row r="67" spans="1:22">
      <c r="A67" s="1">
        <v>45387</v>
      </c>
      <c r="B67" t="s">
        <v>7</v>
      </c>
      <c r="C67">
        <v>514.46002199999998</v>
      </c>
      <c r="D67">
        <v>520.44000240000003</v>
      </c>
      <c r="E67">
        <v>514.01000980000003</v>
      </c>
      <c r="F67">
        <v>518.42999269999996</v>
      </c>
      <c r="G67">
        <v>74546500</v>
      </c>
      <c r="H67">
        <f t="shared" si="7"/>
        <v>519.30999754000004</v>
      </c>
      <c r="I67">
        <f t="shared" si="13"/>
        <v>517.30500031000008</v>
      </c>
      <c r="J67" s="4">
        <f t="shared" si="14"/>
        <v>500.54709748870965</v>
      </c>
      <c r="K67">
        <f t="shared" si="1"/>
        <v>-3.8235799646086873E-3</v>
      </c>
      <c r="L67">
        <f t="shared" si="9"/>
        <v>-1.6899344497111718E-4</v>
      </c>
      <c r="M67" s="3">
        <f t="shared" si="16"/>
        <v>1.6081806222937969E-3</v>
      </c>
      <c r="N67" t="str">
        <f t="shared" ca="1" si="17"/>
        <v>wait</v>
      </c>
      <c r="O67">
        <f t="shared" si="10"/>
        <v>-9.3392685736355396E-3</v>
      </c>
      <c r="P67">
        <f t="shared" si="11"/>
        <v>-1.201592549644559E-2</v>
      </c>
      <c r="Q67">
        <f t="shared" si="12"/>
        <v>-1.2612866632700448E-2</v>
      </c>
      <c r="R67">
        <f t="shared" si="5"/>
        <v>-5.5923425663113591E-3</v>
      </c>
      <c r="S67" s="3">
        <f t="shared" si="15"/>
        <v>3.3479172899745807E-2</v>
      </c>
      <c r="T67" s="3">
        <f t="shared" si="18"/>
        <v>-1.1950058760845372E-3</v>
      </c>
      <c r="V67" t="str">
        <f t="shared" si="19"/>
        <v>11-1</v>
      </c>
    </row>
    <row r="68" spans="1:22">
      <c r="A68" s="1">
        <v>45390</v>
      </c>
      <c r="B68" t="s">
        <v>7</v>
      </c>
      <c r="C68">
        <v>519.15002440000001</v>
      </c>
      <c r="D68">
        <v>520.17999269999996</v>
      </c>
      <c r="E68">
        <v>517.89001459999997</v>
      </c>
      <c r="F68">
        <v>518.71997069999998</v>
      </c>
      <c r="G68">
        <v>48401800</v>
      </c>
      <c r="H68">
        <f t="shared" si="7"/>
        <v>518.38199462000011</v>
      </c>
      <c r="I68">
        <f t="shared" si="13"/>
        <v>517.48600006499998</v>
      </c>
      <c r="J68" s="4">
        <f t="shared" si="14"/>
        <v>501.36177457419353</v>
      </c>
      <c r="K68">
        <f t="shared" si="1"/>
        <v>-1.4286734304261612E-3</v>
      </c>
      <c r="L68">
        <f t="shared" si="9"/>
        <v>6.5563115417267219E-4</v>
      </c>
      <c r="M68" s="3">
        <f t="shared" si="16"/>
        <v>1.5391904072431625E-3</v>
      </c>
      <c r="N68" t="str">
        <f t="shared" ca="1" si="17"/>
        <v>wait</v>
      </c>
      <c r="O68">
        <f t="shared" si="10"/>
        <v>1.4815903869556113E-3</v>
      </c>
      <c r="P68">
        <f t="shared" si="11"/>
        <v>9.2592104853128632E-5</v>
      </c>
      <c r="Q68">
        <f t="shared" si="12"/>
        <v>-8.4339056243745159E-3</v>
      </c>
      <c r="R68">
        <f t="shared" si="5"/>
        <v>4.1789610083259321E-3</v>
      </c>
      <c r="S68" s="3">
        <f t="shared" si="15"/>
        <v>3.2160859300653218E-2</v>
      </c>
      <c r="T68" s="3">
        <f t="shared" si="18"/>
        <v>-1.3183135990925895E-3</v>
      </c>
      <c r="V68" t="str">
        <f t="shared" si="19"/>
        <v>11-1</v>
      </c>
    </row>
    <row r="69" spans="1:22">
      <c r="A69" s="1">
        <v>45391</v>
      </c>
      <c r="B69" t="s">
        <v>7</v>
      </c>
      <c r="C69">
        <v>520.5</v>
      </c>
      <c r="D69">
        <v>520.75</v>
      </c>
      <c r="E69">
        <v>514.34997559999999</v>
      </c>
      <c r="F69">
        <v>519.32000730000004</v>
      </c>
      <c r="G69">
        <v>68049200</v>
      </c>
      <c r="H69">
        <f t="shared" si="7"/>
        <v>517.69399413999997</v>
      </c>
      <c r="I69">
        <f t="shared" si="13"/>
        <v>517.83599853999999</v>
      </c>
      <c r="J69" s="4">
        <f t="shared" si="14"/>
        <v>502.07338690645156</v>
      </c>
      <c r="K69">
        <f t="shared" si="1"/>
        <v>-4.6278696236040852E-5</v>
      </c>
      <c r="L69">
        <f t="shared" si="9"/>
        <v>7.2758292104736929E-4</v>
      </c>
      <c r="M69" s="3">
        <f t="shared" si="16"/>
        <v>1.5770506364602525E-3</v>
      </c>
      <c r="N69" t="str">
        <f t="shared" ca="1" si="17"/>
        <v>wait</v>
      </c>
      <c r="O69">
        <f t="shared" si="10"/>
        <v>5.42020168625168E-3</v>
      </c>
      <c r="P69">
        <f t="shared" si="11"/>
        <v>1.9818204800778894E-3</v>
      </c>
      <c r="Q69">
        <f t="shared" si="12"/>
        <v>3.7864155701794466E-4</v>
      </c>
      <c r="R69">
        <f t="shared" si="5"/>
        <v>8.8125471813924605E-3</v>
      </c>
      <c r="S69" s="3">
        <f t="shared" si="15"/>
        <v>3.1395035157450769E-2</v>
      </c>
      <c r="T69" s="3">
        <f t="shared" si="18"/>
        <v>-7.6582414320244818E-4</v>
      </c>
      <c r="V69" t="str">
        <f t="shared" si="19"/>
        <v>11-1</v>
      </c>
    </row>
    <row r="70" spans="1:22">
      <c r="A70" s="1">
        <v>45392</v>
      </c>
      <c r="B70" t="s">
        <v>7</v>
      </c>
      <c r="C70">
        <v>513.47998050000001</v>
      </c>
      <c r="D70">
        <v>516.1599731</v>
      </c>
      <c r="E70">
        <v>512.0900269</v>
      </c>
      <c r="F70">
        <v>514.11999509999998</v>
      </c>
      <c r="G70">
        <v>82652800</v>
      </c>
      <c r="H70">
        <f t="shared" si="7"/>
        <v>517.78999021999994</v>
      </c>
      <c r="I70">
        <f t="shared" si="13"/>
        <v>518.23799896500009</v>
      </c>
      <c r="J70" s="4">
        <f t="shared" si="14"/>
        <v>502.80629017096766</v>
      </c>
      <c r="K70">
        <f t="shared" si="1"/>
        <v>-3.4641537382509303E-5</v>
      </c>
      <c r="L70">
        <f t="shared" si="9"/>
        <v>2.457504021044045E-4</v>
      </c>
      <c r="M70" s="3">
        <f t="shared" si="16"/>
        <v>1.4954398856857273E-3</v>
      </c>
      <c r="N70" t="str">
        <f t="shared" ca="1" si="17"/>
        <v>wait</v>
      </c>
      <c r="O70">
        <f t="shared" si="10"/>
        <v>-8.3238567786307893E-3</v>
      </c>
      <c r="P70">
        <f t="shared" si="11"/>
        <v>2.9548989144227988E-3</v>
      </c>
      <c r="Q70">
        <f t="shared" si="12"/>
        <v>-6.6436483612561936E-3</v>
      </c>
      <c r="R70">
        <f t="shared" si="5"/>
        <v>-7.0222899182741383E-3</v>
      </c>
      <c r="S70" s="3">
        <f t="shared" si="15"/>
        <v>3.0691160981270213E-2</v>
      </c>
      <c r="T70" s="3">
        <f t="shared" si="18"/>
        <v>-7.0387417618055642E-4</v>
      </c>
      <c r="V70" t="str">
        <f t="shared" si="19"/>
        <v>11-1</v>
      </c>
    </row>
    <row r="71" spans="1:22">
      <c r="A71" s="1">
        <v>45393</v>
      </c>
      <c r="B71" t="s">
        <v>7</v>
      </c>
      <c r="C71">
        <v>515.67999269999996</v>
      </c>
      <c r="D71">
        <v>519.47998050000001</v>
      </c>
      <c r="E71">
        <v>512.08001709999996</v>
      </c>
      <c r="F71">
        <v>518</v>
      </c>
      <c r="G71">
        <v>70099000</v>
      </c>
      <c r="H71">
        <f t="shared" si="7"/>
        <v>516.73199461999991</v>
      </c>
      <c r="I71">
        <f t="shared" si="13"/>
        <v>518.10499725500006</v>
      </c>
      <c r="J71" s="4">
        <f t="shared" si="14"/>
        <v>503.41209658225807</v>
      </c>
      <c r="K71">
        <f t="shared" si="1"/>
        <v>4.0929611361437292E-4</v>
      </c>
      <c r="L71">
        <f t="shared" si="9"/>
        <v>-1.7927163449940611E-4</v>
      </c>
      <c r="M71" s="3">
        <f t="shared" si="16"/>
        <v>1.3215068932622544E-3</v>
      </c>
      <c r="N71" t="str">
        <f t="shared" ca="1" si="17"/>
        <v>wait</v>
      </c>
      <c r="O71">
        <f t="shared" si="10"/>
        <v>-2.0358753298672649E-3</v>
      </c>
      <c r="P71">
        <f t="shared" si="11"/>
        <v>-5.0548438014192953E-3</v>
      </c>
      <c r="Q71">
        <f t="shared" si="12"/>
        <v>-8.9833177901313954E-3</v>
      </c>
      <c r="R71">
        <f t="shared" si="5"/>
        <v>-2.3396694288752018E-3</v>
      </c>
      <c r="S71" s="3">
        <f t="shared" si="15"/>
        <v>2.9186626170674763E-2</v>
      </c>
      <c r="T71" s="3">
        <f t="shared" si="18"/>
        <v>-1.5045348105954502E-3</v>
      </c>
      <c r="V71" t="str">
        <f t="shared" si="19"/>
        <v>11-1</v>
      </c>
    </row>
    <row r="72" spans="1:22">
      <c r="A72" s="1">
        <v>45394</v>
      </c>
      <c r="B72" t="s">
        <v>7</v>
      </c>
      <c r="C72">
        <v>514.36999509999998</v>
      </c>
      <c r="D72">
        <v>515.82000730000004</v>
      </c>
      <c r="E72">
        <v>509.07998659999998</v>
      </c>
      <c r="F72">
        <v>510.85000609999997</v>
      </c>
      <c r="G72">
        <v>92561100</v>
      </c>
      <c r="H72">
        <f t="shared" si="7"/>
        <v>517.71799315999999</v>
      </c>
      <c r="I72">
        <f t="shared" si="13"/>
        <v>518.20649872000001</v>
      </c>
      <c r="J72" s="4">
        <f t="shared" si="14"/>
        <v>504.08387067741938</v>
      </c>
      <c r="K72">
        <f t="shared" ref="K72:K135" si="20">(F71-F67)/F67/5</f>
        <v>-1.6588264801599976E-4</v>
      </c>
      <c r="L72">
        <f t="shared" si="9"/>
        <v>2.961440652238957E-4</v>
      </c>
      <c r="M72" s="3">
        <f t="shared" si="16"/>
        <v>1.4447151105138739E-3</v>
      </c>
      <c r="N72" t="str">
        <f t="shared" ca="1" si="17"/>
        <v>wait</v>
      </c>
      <c r="O72">
        <f t="shared" si="10"/>
        <v>-6.4668373597850382E-3</v>
      </c>
      <c r="P72">
        <f t="shared" si="11"/>
        <v>5.4471129789934736E-4</v>
      </c>
      <c r="Q72">
        <f t="shared" si="12"/>
        <v>-1.0890052373083381E-2</v>
      </c>
      <c r="R72">
        <f t="shared" si="5"/>
        <v>-1.9067345829519855E-3</v>
      </c>
      <c r="S72" s="3">
        <f t="shared" si="15"/>
        <v>2.801642517067995E-2</v>
      </c>
      <c r="T72" s="3">
        <f t="shared" si="18"/>
        <v>-1.1702009999948124E-3</v>
      </c>
      <c r="V72" t="str">
        <f t="shared" si="19"/>
        <v>11-1</v>
      </c>
    </row>
    <row r="73" spans="1:22">
      <c r="A73" s="1">
        <v>45397</v>
      </c>
      <c r="B73" t="s">
        <v>7</v>
      </c>
      <c r="C73">
        <v>515.13000490000002</v>
      </c>
      <c r="D73">
        <v>515.29998780000005</v>
      </c>
      <c r="E73">
        <v>503.57998659999998</v>
      </c>
      <c r="F73">
        <v>504.4500122</v>
      </c>
      <c r="G73">
        <v>92101400</v>
      </c>
      <c r="H73">
        <f t="shared" si="7"/>
        <v>516.20199584</v>
      </c>
      <c r="I73">
        <f t="shared" si="13"/>
        <v>518.00149841500001</v>
      </c>
      <c r="J73" s="4">
        <f t="shared" si="14"/>
        <v>504.63499992580654</v>
      </c>
      <c r="K73">
        <f t="shared" si="20"/>
        <v>-3.034378872816359E-3</v>
      </c>
      <c r="L73">
        <f t="shared" si="9"/>
        <v>1.0003525947957544E-4</v>
      </c>
      <c r="M73" s="3">
        <f t="shared" si="16"/>
        <v>1.2605371301074272E-3</v>
      </c>
      <c r="N73" t="str">
        <f t="shared" ca="1" si="17"/>
        <v>wait</v>
      </c>
      <c r="O73">
        <f t="shared" si="10"/>
        <v>-2.0766888710989084E-3</v>
      </c>
      <c r="P73">
        <f t="shared" si="11"/>
        <v>-1.0368014426776706E-2</v>
      </c>
      <c r="Q73">
        <f t="shared" si="12"/>
        <v>-1.3796942470961526E-2</v>
      </c>
      <c r="R73">
        <f t="shared" ref="R73:R136" si="21">Q73-Q72</f>
        <v>-2.9068900978781453E-3</v>
      </c>
      <c r="S73" s="3">
        <f t="shared" si="15"/>
        <v>2.6487458244391832E-2</v>
      </c>
      <c r="T73" s="3">
        <f t="shared" si="18"/>
        <v>-1.5289669262881188E-3</v>
      </c>
      <c r="V73" t="str">
        <f t="shared" si="19"/>
        <v>11-1</v>
      </c>
    </row>
    <row r="74" spans="1:22">
      <c r="A74" s="1">
        <v>45398</v>
      </c>
      <c r="B74" t="s">
        <v>7</v>
      </c>
      <c r="C74">
        <v>504.94000240000003</v>
      </c>
      <c r="D74">
        <v>506.5</v>
      </c>
      <c r="E74">
        <v>502.2099915</v>
      </c>
      <c r="F74">
        <v>503.52999879999999</v>
      </c>
      <c r="G74">
        <v>73484000</v>
      </c>
      <c r="H74">
        <f t="shared" si="7"/>
        <v>513.34800414000006</v>
      </c>
      <c r="I74">
        <f t="shared" si="13"/>
        <v>517.732499695</v>
      </c>
      <c r="J74" s="4">
        <f t="shared" si="14"/>
        <v>505.11112927258063</v>
      </c>
      <c r="K74">
        <f t="shared" si="20"/>
        <v>-5.7267175887602429E-3</v>
      </c>
      <c r="L74">
        <f t="shared" si="9"/>
        <v>-8.1990927732846516E-4</v>
      </c>
      <c r="M74" s="3">
        <f t="shared" si="16"/>
        <v>1.1348960427280915E-3</v>
      </c>
      <c r="N74" t="str">
        <f t="shared" ca="1" si="17"/>
        <v>wait</v>
      </c>
      <c r="O74">
        <f t="shared" si="10"/>
        <v>-1.6378756072278455E-2</v>
      </c>
      <c r="P74">
        <f t="shared" si="11"/>
        <v>-1.7333255156814387E-2</v>
      </c>
      <c r="Q74">
        <f t="shared" si="12"/>
        <v>-1.9028061785034467E-2</v>
      </c>
      <c r="R74">
        <f t="shared" si="21"/>
        <v>-5.2311193140729406E-3</v>
      </c>
      <c r="S74" s="3">
        <f t="shared" si="15"/>
        <v>2.4987314060166584E-2</v>
      </c>
      <c r="T74" s="3">
        <f t="shared" si="18"/>
        <v>-1.500144184225248E-3</v>
      </c>
      <c r="V74" t="str">
        <f t="shared" si="19"/>
        <v>11-1</v>
      </c>
    </row>
    <row r="75" spans="1:22">
      <c r="A75" s="1">
        <v>45399</v>
      </c>
      <c r="B75" t="s">
        <v>7</v>
      </c>
      <c r="C75">
        <v>506.0499878</v>
      </c>
      <c r="D75">
        <v>506.22000120000001</v>
      </c>
      <c r="E75">
        <v>499.11999509999998</v>
      </c>
      <c r="F75">
        <v>500.5499878</v>
      </c>
      <c r="G75">
        <v>75910300</v>
      </c>
      <c r="H75">
        <f t="shared" si="7"/>
        <v>510.19000244</v>
      </c>
      <c r="I75">
        <f t="shared" si="13"/>
        <v>517.26600036500008</v>
      </c>
      <c r="J75" s="4">
        <f t="shared" si="14"/>
        <v>505.615000083871</v>
      </c>
      <c r="K75">
        <f t="shared" si="20"/>
        <v>-4.1196593794957017E-3</v>
      </c>
      <c r="L75">
        <f t="shared" si="9"/>
        <v>-1.1808984390844351E-3</v>
      </c>
      <c r="M75" s="3">
        <f t="shared" si="16"/>
        <v>9.458054088624996E-4</v>
      </c>
      <c r="N75" t="str">
        <f t="shared" ca="1" si="17"/>
        <v>wait</v>
      </c>
      <c r="O75">
        <f t="shared" si="10"/>
        <v>-8.1146526200047697E-3</v>
      </c>
      <c r="P75">
        <f t="shared" si="11"/>
        <v>-1.3053967361469909E-2</v>
      </c>
      <c r="Q75">
        <f t="shared" si="12"/>
        <v>-1.5641253066181915E-2</v>
      </c>
      <c r="R75">
        <f t="shared" si="21"/>
        <v>3.386808718852552E-3</v>
      </c>
      <c r="S75" s="3">
        <f t="shared" si="15"/>
        <v>2.3043225140069869E-2</v>
      </c>
      <c r="T75" s="3">
        <f t="shared" si="18"/>
        <v>-1.9440889200967142E-3</v>
      </c>
      <c r="V75" t="str">
        <f t="shared" si="19"/>
        <v>11-1</v>
      </c>
    </row>
    <row r="76" spans="1:22">
      <c r="A76" s="1">
        <v>45400</v>
      </c>
      <c r="B76" t="s">
        <v>7</v>
      </c>
      <c r="C76">
        <v>501.98001099999999</v>
      </c>
      <c r="D76">
        <v>504.13000490000002</v>
      </c>
      <c r="E76">
        <v>498.55999759999997</v>
      </c>
      <c r="F76">
        <v>499.51998900000001</v>
      </c>
      <c r="G76">
        <v>74548100</v>
      </c>
      <c r="H76">
        <f t="shared" si="7"/>
        <v>507.47600097999992</v>
      </c>
      <c r="I76">
        <f t="shared" si="13"/>
        <v>516.50799865500005</v>
      </c>
      <c r="J76" s="4">
        <f t="shared" si="14"/>
        <v>506.00306456129033</v>
      </c>
      <c r="K76">
        <f t="shared" si="20"/>
        <v>-6.7374564478764496E-3</v>
      </c>
      <c r="L76">
        <f t="shared" si="9"/>
        <v>-1.9145782207467643E-3</v>
      </c>
      <c r="M76" s="3">
        <f t="shared" si="16"/>
        <v>6.2599739423981515E-4</v>
      </c>
      <c r="N76" t="str">
        <f t="shared" ca="1" si="17"/>
        <v>wait</v>
      </c>
      <c r="O76">
        <f t="shared" si="10"/>
        <v>-1.0830049045445489E-2</v>
      </c>
      <c r="P76">
        <f t="shared" si="11"/>
        <v>-1.3647962005345904E-2</v>
      </c>
      <c r="Q76">
        <f t="shared" si="12"/>
        <v>-1.64658148638821E-2</v>
      </c>
      <c r="R76">
        <f t="shared" si="21"/>
        <v>-8.2456179770018512E-4</v>
      </c>
      <c r="S76" s="3">
        <f t="shared" si="15"/>
        <v>2.0760613580112608E-2</v>
      </c>
      <c r="T76" s="3">
        <f t="shared" si="18"/>
        <v>-2.2826115599572615E-3</v>
      </c>
      <c r="V76" t="str">
        <f t="shared" si="19"/>
        <v>11-1</v>
      </c>
    </row>
    <row r="77" spans="1:22">
      <c r="A77" s="1">
        <v>45401</v>
      </c>
      <c r="B77" t="s">
        <v>7</v>
      </c>
      <c r="C77">
        <v>499.44000240000003</v>
      </c>
      <c r="D77">
        <v>500.4599915</v>
      </c>
      <c r="E77">
        <v>493.85998540000003</v>
      </c>
      <c r="F77">
        <v>495.1600037</v>
      </c>
      <c r="G77">
        <v>102212600</v>
      </c>
      <c r="H77">
        <f t="shared" si="7"/>
        <v>503.77999878000003</v>
      </c>
      <c r="I77">
        <f t="shared" si="13"/>
        <v>515.45999907999999</v>
      </c>
      <c r="J77" s="4">
        <f t="shared" si="14"/>
        <v>506.27870966290328</v>
      </c>
      <c r="K77">
        <f t="shared" si="20"/>
        <v>-4.4357509894135498E-3</v>
      </c>
      <c r="L77">
        <f t="shared" si="9"/>
        <v>-2.1715839400740576E-3</v>
      </c>
      <c r="M77" s="3">
        <f t="shared" si="16"/>
        <v>5.5400339209396088E-4</v>
      </c>
      <c r="N77" t="str">
        <f t="shared" ca="1" si="17"/>
        <v>wait</v>
      </c>
      <c r="O77">
        <f t="shared" si="10"/>
        <v>-8.6148644061100343E-3</v>
      </c>
      <c r="P77">
        <f t="shared" si="11"/>
        <v>-8.4560915286761018E-3</v>
      </c>
      <c r="Q77">
        <f t="shared" si="12"/>
        <v>-1.036166817388795E-2</v>
      </c>
      <c r="R77">
        <f t="shared" si="21"/>
        <v>6.1041466899941499E-3</v>
      </c>
      <c r="S77" s="3">
        <f t="shared" si="15"/>
        <v>1.813485189454225E-2</v>
      </c>
      <c r="T77" s="3">
        <f t="shared" si="18"/>
        <v>-2.6257616855703582E-3</v>
      </c>
      <c r="V77" t="str">
        <f t="shared" si="19"/>
        <v>11-1</v>
      </c>
    </row>
    <row r="78" spans="1:22">
      <c r="A78" s="1">
        <v>45404</v>
      </c>
      <c r="B78" t="s">
        <v>7</v>
      </c>
      <c r="C78">
        <v>497.82998659999998</v>
      </c>
      <c r="D78">
        <v>502.38000490000002</v>
      </c>
      <c r="E78">
        <v>495.42999270000001</v>
      </c>
      <c r="F78">
        <v>499.72000120000001</v>
      </c>
      <c r="G78">
        <v>67961000</v>
      </c>
      <c r="H78">
        <f t="shared" si="7"/>
        <v>500.64199829999995</v>
      </c>
      <c r="I78">
        <f t="shared" si="13"/>
        <v>514.10799865500007</v>
      </c>
      <c r="J78" s="4">
        <f t="shared" si="14"/>
        <v>506.46758049354838</v>
      </c>
      <c r="K78">
        <f t="shared" si="20"/>
        <v>-3.683222628733638E-3</v>
      </c>
      <c r="L78">
        <f t="shared" si="9"/>
        <v>-2.4989943785079386E-3</v>
      </c>
      <c r="M78" s="3">
        <f t="shared" si="16"/>
        <v>3.5405473092411276E-4</v>
      </c>
      <c r="N78" t="str">
        <f t="shared" ca="1" si="17"/>
        <v>wait</v>
      </c>
      <c r="O78">
        <f t="shared" si="10"/>
        <v>-5.6168114332169061E-3</v>
      </c>
      <c r="P78">
        <f t="shared" si="11"/>
        <v>-1.0949929527716118E-2</v>
      </c>
      <c r="Q78">
        <f t="shared" si="12"/>
        <v>-1.3546631970608125E-2</v>
      </c>
      <c r="R78">
        <f t="shared" si="21"/>
        <v>-3.1849637967201749E-3</v>
      </c>
      <c r="S78" s="3">
        <f t="shared" si="15"/>
        <v>1.5085700360141844E-2</v>
      </c>
      <c r="T78" s="3">
        <f t="shared" si="18"/>
        <v>-3.0491515344004058E-3</v>
      </c>
      <c r="V78" t="str">
        <f t="shared" si="19"/>
        <v>11-1</v>
      </c>
    </row>
    <row r="79" spans="1:22">
      <c r="A79" s="1">
        <v>45405</v>
      </c>
      <c r="B79" t="s">
        <v>7</v>
      </c>
      <c r="C79">
        <v>501.77999879999999</v>
      </c>
      <c r="D79">
        <v>506.0899963</v>
      </c>
      <c r="E79">
        <v>499.52999879999999</v>
      </c>
      <c r="F79">
        <v>505.64999390000003</v>
      </c>
      <c r="G79">
        <v>64633600</v>
      </c>
      <c r="H79">
        <f t="shared" si="7"/>
        <v>499.69599610000006</v>
      </c>
      <c r="I79">
        <f t="shared" si="13"/>
        <v>513.03349761499999</v>
      </c>
      <c r="J79" s="4">
        <f t="shared" si="14"/>
        <v>506.70725816774183</v>
      </c>
      <c r="K79">
        <f t="shared" si="20"/>
        <v>-1.5133150394534048E-3</v>
      </c>
      <c r="L79">
        <f t="shared" si="9"/>
        <v>-1.9287393989448804E-3</v>
      </c>
      <c r="M79" s="3">
        <f t="shared" si="16"/>
        <v>4.9204372322495795E-4</v>
      </c>
      <c r="N79" t="str">
        <f t="shared" ca="1" si="17"/>
        <v>wait</v>
      </c>
      <c r="O79">
        <f t="shared" si="10"/>
        <v>4.1705411215320343E-3</v>
      </c>
      <c r="P79">
        <f t="shared" si="11"/>
        <v>4.8039408334865641E-5</v>
      </c>
      <c r="Q79">
        <f t="shared" si="12"/>
        <v>-8.5371974826596864E-3</v>
      </c>
      <c r="R79">
        <f t="shared" si="21"/>
        <v>5.0094344879484387E-3</v>
      </c>
      <c r="S79" s="3">
        <f t="shared" si="15"/>
        <v>1.2484998675830895E-2</v>
      </c>
      <c r="T79" s="3">
        <f t="shared" si="18"/>
        <v>-2.6007016843109486E-3</v>
      </c>
      <c r="V79" t="str">
        <f t="shared" si="19"/>
        <v>11-1</v>
      </c>
    </row>
    <row r="80" spans="1:22">
      <c r="A80" s="1">
        <v>45406</v>
      </c>
      <c r="B80" t="s">
        <v>7</v>
      </c>
      <c r="C80">
        <v>506.55999759999997</v>
      </c>
      <c r="D80">
        <v>507.36999509999998</v>
      </c>
      <c r="E80">
        <v>503.13000490000002</v>
      </c>
      <c r="F80">
        <v>505.4100037</v>
      </c>
      <c r="G80">
        <v>55928100</v>
      </c>
      <c r="H80">
        <f t="shared" ref="H80:H143" si="22">AVERAGE(F75:F79)</f>
        <v>500.11999512</v>
      </c>
      <c r="I80">
        <f t="shared" si="13"/>
        <v>512.32749633499998</v>
      </c>
      <c r="J80" s="4">
        <f t="shared" si="14"/>
        <v>507.03403202741924</v>
      </c>
      <c r="K80">
        <f t="shared" si="20"/>
        <v>2.0377609526734388E-3</v>
      </c>
      <c r="L80">
        <f t="shared" si="9"/>
        <v>-1.2682874039511326E-3</v>
      </c>
      <c r="M80" s="3">
        <f t="shared" si="16"/>
        <v>6.017387982748749E-4</v>
      </c>
      <c r="N80" t="str">
        <f t="shared" ca="1" si="17"/>
        <v>wait</v>
      </c>
      <c r="O80">
        <f t="shared" si="10"/>
        <v>1.2876914626168467E-2</v>
      </c>
      <c r="P80">
        <f t="shared" si="11"/>
        <v>1.1057343905382488E-2</v>
      </c>
      <c r="Q80">
        <f t="shared" si="12"/>
        <v>-1.1797095212289221E-3</v>
      </c>
      <c r="R80">
        <f t="shared" si="21"/>
        <v>7.3574879614307642E-3</v>
      </c>
      <c r="S80" s="3">
        <f t="shared" si="15"/>
        <v>1.0440057221434153E-2</v>
      </c>
      <c r="T80" s="3">
        <f t="shared" si="18"/>
        <v>-2.0449414543967422E-3</v>
      </c>
      <c r="V80" t="str">
        <f t="shared" si="19"/>
        <v>11-1</v>
      </c>
    </row>
    <row r="81" spans="1:22">
      <c r="A81" s="1">
        <v>45407</v>
      </c>
      <c r="B81" t="s">
        <v>7</v>
      </c>
      <c r="C81">
        <v>499.17999270000001</v>
      </c>
      <c r="D81">
        <v>504.26998900000001</v>
      </c>
      <c r="E81">
        <v>497.48999020000002</v>
      </c>
      <c r="F81">
        <v>503.48999020000002</v>
      </c>
      <c r="G81">
        <v>69122400</v>
      </c>
      <c r="H81">
        <f t="shared" si="22"/>
        <v>501.0919983</v>
      </c>
      <c r="I81">
        <f t="shared" si="13"/>
        <v>511.65749664000003</v>
      </c>
      <c r="J81" s="4">
        <f t="shared" si="14"/>
        <v>507.31435468709662</v>
      </c>
      <c r="K81">
        <f t="shared" si="20"/>
        <v>2.3582698709580545E-3</v>
      </c>
      <c r="L81">
        <f t="shared" si="9"/>
        <v>-1.6973430988484976E-3</v>
      </c>
      <c r="M81" s="3">
        <f t="shared" si="16"/>
        <v>6.1549824115766287E-4</v>
      </c>
      <c r="N81" t="str">
        <f t="shared" ca="1" si="17"/>
        <v>wait</v>
      </c>
      <c r="O81">
        <f t="shared" si="10"/>
        <v>-3.8156777727176294E-3</v>
      </c>
      <c r="P81">
        <f t="shared" si="11"/>
        <v>8.6171908844068223E-3</v>
      </c>
      <c r="Q81">
        <f t="shared" si="12"/>
        <v>4.0671306005966024E-3</v>
      </c>
      <c r="R81">
        <f t="shared" si="21"/>
        <v>5.2468401218255245E-3</v>
      </c>
      <c r="S81" s="3">
        <f t="shared" si="15"/>
        <v>8.561046839650711E-3</v>
      </c>
      <c r="T81" s="3">
        <f t="shared" si="18"/>
        <v>-1.8790103817834421E-3</v>
      </c>
      <c r="V81" t="str">
        <f t="shared" si="19"/>
        <v>11-1</v>
      </c>
    </row>
    <row r="82" spans="1:22">
      <c r="A82" s="1">
        <v>45408</v>
      </c>
      <c r="B82" t="s">
        <v>7</v>
      </c>
      <c r="C82">
        <v>506.35000609999997</v>
      </c>
      <c r="D82">
        <v>509.88000490000002</v>
      </c>
      <c r="E82">
        <v>505.7000122</v>
      </c>
      <c r="F82">
        <v>508.26000979999998</v>
      </c>
      <c r="G82">
        <v>64306100</v>
      </c>
      <c r="H82">
        <f t="shared" si="22"/>
        <v>501.88599854000006</v>
      </c>
      <c r="I82">
        <f t="shared" si="13"/>
        <v>510.673497005</v>
      </c>
      <c r="J82" s="4">
        <f t="shared" si="14"/>
        <v>507.57370930806445</v>
      </c>
      <c r="K82">
        <f t="shared" si="20"/>
        <v>3.3645635502688393E-3</v>
      </c>
      <c r="L82">
        <f t="shared" si="9"/>
        <v>-1.8716440272563892E-3</v>
      </c>
      <c r="M82" s="3">
        <f t="shared" si="16"/>
        <v>4.1457180618999071E-4</v>
      </c>
      <c r="N82" t="str">
        <f t="shared" ca="1" si="17"/>
        <v>wait</v>
      </c>
      <c r="O82">
        <f t="shared" si="10"/>
        <v>8.894465223149961E-3</v>
      </c>
      <c r="P82">
        <f t="shared" si="11"/>
        <v>3.1959282878304407E-3</v>
      </c>
      <c r="Q82">
        <f t="shared" si="12"/>
        <v>-8.758977841159421E-3</v>
      </c>
      <c r="R82">
        <f t="shared" si="21"/>
        <v>-1.2826108441756023E-2</v>
      </c>
      <c r="S82" s="3">
        <f t="shared" si="15"/>
        <v>6.1070690622673273E-3</v>
      </c>
      <c r="T82" s="3">
        <f t="shared" si="18"/>
        <v>-2.4539777773833838E-3</v>
      </c>
      <c r="V82" t="str">
        <f t="shared" si="19"/>
        <v>11-1</v>
      </c>
    </row>
    <row r="83" spans="1:22">
      <c r="A83" s="1">
        <v>45411</v>
      </c>
      <c r="B83" t="s">
        <v>7</v>
      </c>
      <c r="C83">
        <v>510.0899963</v>
      </c>
      <c r="D83">
        <v>510.75</v>
      </c>
      <c r="E83">
        <v>507.25</v>
      </c>
      <c r="F83">
        <v>510.05999759999997</v>
      </c>
      <c r="G83">
        <v>46415400</v>
      </c>
      <c r="H83">
        <f t="shared" si="22"/>
        <v>504.50599976000001</v>
      </c>
      <c r="I83">
        <f t="shared" si="13"/>
        <v>509.93299713000005</v>
      </c>
      <c r="J83" s="4">
        <f t="shared" si="14"/>
        <v>507.84774190161284</v>
      </c>
      <c r="K83">
        <f t="shared" si="20"/>
        <v>3.4179174655777069E-3</v>
      </c>
      <c r="L83">
        <f t="shared" si="9"/>
        <v>-1.3310062065345261E-3</v>
      </c>
      <c r="M83" s="3">
        <f t="shared" si="16"/>
        <v>5.897449762466611E-4</v>
      </c>
      <c r="N83" t="str">
        <f t="shared" ca="1" si="17"/>
        <v>wait</v>
      </c>
      <c r="O83">
        <f t="shared" si="10"/>
        <v>1.106824605189316E-2</v>
      </c>
      <c r="P83">
        <f t="shared" si="11"/>
        <v>7.4409621328306308E-3</v>
      </c>
      <c r="Q83">
        <f t="shared" si="12"/>
        <v>2.3666962148478632E-3</v>
      </c>
      <c r="R83">
        <f t="shared" si="21"/>
        <v>1.1125674056007284E-2</v>
      </c>
      <c r="S83" s="3">
        <f t="shared" si="15"/>
        <v>4.1060637989234093E-3</v>
      </c>
      <c r="T83" s="3">
        <f t="shared" si="18"/>
        <v>-2.001005263343918E-3</v>
      </c>
      <c r="V83" t="str">
        <f t="shared" si="19"/>
        <v>11-1</v>
      </c>
    </row>
    <row r="84" spans="1:22">
      <c r="A84" s="1">
        <v>45412</v>
      </c>
      <c r="B84" t="s">
        <v>7</v>
      </c>
      <c r="C84">
        <v>508.55999759999997</v>
      </c>
      <c r="D84">
        <v>509.55999759999997</v>
      </c>
      <c r="E84">
        <v>501.98001099999999</v>
      </c>
      <c r="F84">
        <v>501.98001099999999</v>
      </c>
      <c r="G84">
        <v>77483600</v>
      </c>
      <c r="H84">
        <f t="shared" si="22"/>
        <v>506.57399904000005</v>
      </c>
      <c r="I84">
        <f t="shared" si="13"/>
        <v>509.32799835499998</v>
      </c>
      <c r="J84" s="4">
        <f t="shared" si="14"/>
        <v>508.15693517580644</v>
      </c>
      <c r="K84">
        <f t="shared" si="20"/>
        <v>1.7442910128352904E-3</v>
      </c>
      <c r="L84">
        <f t="shared" si="9"/>
        <v>-8.4612104355744565E-4</v>
      </c>
      <c r="M84" s="3">
        <f t="shared" si="16"/>
        <v>9.3812101088580938E-4</v>
      </c>
      <c r="N84" t="str">
        <f t="shared" ca="1" si="17"/>
        <v>wait</v>
      </c>
      <c r="O84">
        <f t="shared" si="10"/>
        <v>3.9204510372887746E-3</v>
      </c>
      <c r="P84">
        <f t="shared" si="11"/>
        <v>6.8815189224202822E-3</v>
      </c>
      <c r="Q84">
        <f t="shared" si="12"/>
        <v>1.3344564886492716E-3</v>
      </c>
      <c r="R84">
        <f t="shared" si="21"/>
        <v>-1.0322397261985916E-3</v>
      </c>
      <c r="S84" s="3">
        <f t="shared" si="15"/>
        <v>2.3045305458408967E-3</v>
      </c>
      <c r="T84" s="3">
        <f t="shared" si="18"/>
        <v>-1.8015332530825125E-3</v>
      </c>
      <c r="V84" t="str">
        <f t="shared" si="19"/>
        <v>11-1</v>
      </c>
    </row>
    <row r="85" spans="1:22">
      <c r="A85" s="1">
        <v>45413</v>
      </c>
      <c r="B85" t="s">
        <v>7</v>
      </c>
      <c r="C85">
        <v>501.38000490000002</v>
      </c>
      <c r="D85">
        <v>508.19000240000003</v>
      </c>
      <c r="E85">
        <v>499.86999509999998</v>
      </c>
      <c r="F85">
        <v>500.35000609999997</v>
      </c>
      <c r="G85">
        <v>80242800</v>
      </c>
      <c r="H85">
        <f t="shared" si="22"/>
        <v>505.84000246000005</v>
      </c>
      <c r="I85">
        <f t="shared" si="13"/>
        <v>508.4849975599999</v>
      </c>
      <c r="J85" s="4">
        <f t="shared" si="14"/>
        <v>508.46499979032257</v>
      </c>
      <c r="K85">
        <f t="shared" si="20"/>
        <v>-1.3573109653112368E-3</v>
      </c>
      <c r="L85">
        <f t="shared" si="9"/>
        <v>-1.677861708735836E-3</v>
      </c>
      <c r="M85" s="3">
        <f t="shared" si="16"/>
        <v>4.3540469069514015E-4</v>
      </c>
      <c r="N85" t="str">
        <f t="shared" ca="1" si="17"/>
        <v>wait</v>
      </c>
      <c r="O85">
        <f t="shared" si="10"/>
        <v>-8.8170123721140747E-3</v>
      </c>
      <c r="P85">
        <f t="shared" si="11"/>
        <v>-7.6308545018743956E-3</v>
      </c>
      <c r="Q85">
        <f t="shared" si="12"/>
        <v>-7.6308545018743956E-3</v>
      </c>
      <c r="R85">
        <f t="shared" si="21"/>
        <v>-8.9653109905236672E-3</v>
      </c>
      <c r="S85" s="3">
        <f t="shared" si="15"/>
        <v>3.9329687757423301E-5</v>
      </c>
      <c r="T85" s="3">
        <f t="shared" si="18"/>
        <v>-2.2652008580834734E-3</v>
      </c>
      <c r="V85" t="str">
        <f t="shared" si="19"/>
        <v>11-1</v>
      </c>
    </row>
    <row r="86" spans="1:22">
      <c r="A86" s="1">
        <v>45414</v>
      </c>
      <c r="B86" t="s">
        <v>7</v>
      </c>
      <c r="C86">
        <v>504.14999390000003</v>
      </c>
      <c r="D86">
        <v>505.89001459999997</v>
      </c>
      <c r="E86">
        <v>499.5499878</v>
      </c>
      <c r="F86">
        <v>505.02999879999999</v>
      </c>
      <c r="G86">
        <v>62550200</v>
      </c>
      <c r="H86">
        <f t="shared" si="22"/>
        <v>504.82800293999998</v>
      </c>
      <c r="I86">
        <f t="shared" si="13"/>
        <v>507.53199920999987</v>
      </c>
      <c r="J86" s="4">
        <f t="shared" si="14"/>
        <v>508.6448384016129</v>
      </c>
      <c r="K86">
        <f t="shared" si="20"/>
        <v>-1.2472875970196593E-3</v>
      </c>
      <c r="L86">
        <f t="shared" si="9"/>
        <v>-1.2395970353966223E-3</v>
      </c>
      <c r="M86" s="3">
        <f t="shared" si="16"/>
        <v>2.0228582738152413E-4</v>
      </c>
      <c r="N86" t="str">
        <f t="shared" ca="1" si="17"/>
        <v>wait</v>
      </c>
      <c r="O86">
        <f t="shared" si="10"/>
        <v>-1.3430495853070656E-3</v>
      </c>
      <c r="P86">
        <f t="shared" si="11"/>
        <v>-8.8703416092633658E-3</v>
      </c>
      <c r="Q86">
        <f t="shared" si="12"/>
        <v>-9.8211822860968523E-3</v>
      </c>
      <c r="R86">
        <f t="shared" si="21"/>
        <v>-2.1903277842224567E-3</v>
      </c>
      <c r="S86" s="3">
        <f t="shared" si="15"/>
        <v>-2.187851144051844E-3</v>
      </c>
      <c r="T86" s="3">
        <f t="shared" si="18"/>
        <v>-2.2271808318092673E-3</v>
      </c>
      <c r="V86" t="str">
        <f t="shared" si="19"/>
        <v>1-1-1</v>
      </c>
    </row>
    <row r="87" spans="1:22">
      <c r="A87" s="1">
        <v>45415</v>
      </c>
      <c r="B87" t="s">
        <v>7</v>
      </c>
      <c r="C87">
        <v>511.1600037</v>
      </c>
      <c r="D87">
        <v>512.54998780000005</v>
      </c>
      <c r="E87">
        <v>508.55999759999997</v>
      </c>
      <c r="F87">
        <v>511.2900085</v>
      </c>
      <c r="G87">
        <v>72756700</v>
      </c>
      <c r="H87">
        <f t="shared" si="22"/>
        <v>505.13600465999997</v>
      </c>
      <c r="I87">
        <f t="shared" si="13"/>
        <v>507.12999878500005</v>
      </c>
      <c r="J87" s="4">
        <f t="shared" si="14"/>
        <v>508.81709634838705</v>
      </c>
      <c r="K87">
        <f t="shared" si="20"/>
        <v>-1.2710073339317006E-3</v>
      </c>
      <c r="L87">
        <f t="shared" ref="L87:L150" si="23">(F86-F67)/F67/20</f>
        <v>-1.2923629119345867E-3</v>
      </c>
      <c r="M87" s="3">
        <f t="shared" si="16"/>
        <v>4.2229253575332886E-4</v>
      </c>
      <c r="N87" t="str">
        <f t="shared" ca="1" si="17"/>
        <v>wait</v>
      </c>
      <c r="O87">
        <f t="shared" ref="O87:O150" si="24">C87/H87-1</f>
        <v>1.1925499240654336E-2</v>
      </c>
      <c r="P87">
        <f t="shared" ref="P87:P150" si="25">F86/H87-1</f>
        <v>-2.0985607642709514E-4</v>
      </c>
      <c r="Q87">
        <f t="shared" ref="Q87:Q150" si="26">E86/H87-1</f>
        <v>-1.1058441307821298E-2</v>
      </c>
      <c r="R87">
        <f t="shared" si="21"/>
        <v>-1.2372590217244461E-3</v>
      </c>
      <c r="S87" s="3">
        <f t="shared" ref="S87:S150" si="27">(I87-J87)/J87</f>
        <v>-3.3157249933124166E-3</v>
      </c>
      <c r="T87" s="3">
        <f t="shared" si="18"/>
        <v>-1.1278738492605726E-3</v>
      </c>
      <c r="V87" t="str">
        <f t="shared" si="19"/>
        <v>1-1-1</v>
      </c>
    </row>
    <row r="88" spans="1:22">
      <c r="A88" s="1">
        <v>45418</v>
      </c>
      <c r="B88" t="s">
        <v>7</v>
      </c>
      <c r="C88">
        <v>513.75</v>
      </c>
      <c r="D88">
        <v>516.60998540000003</v>
      </c>
      <c r="E88">
        <v>513.29998780000005</v>
      </c>
      <c r="F88">
        <v>516.57000730000004</v>
      </c>
      <c r="G88">
        <v>47264700</v>
      </c>
      <c r="H88">
        <f t="shared" si="22"/>
        <v>505.74200439999993</v>
      </c>
      <c r="I88">
        <f t="shared" si="13"/>
        <v>506.77299957499997</v>
      </c>
      <c r="J88" s="4">
        <f t="shared" si="14"/>
        <v>509.11935474677421</v>
      </c>
      <c r="K88">
        <f t="shared" si="20"/>
        <v>4.8230047672337786E-4</v>
      </c>
      <c r="L88">
        <f t="shared" si="23"/>
        <v>-7.1618239316807329E-4</v>
      </c>
      <c r="M88" s="3">
        <f t="shared" si="16"/>
        <v>5.8403164482162312E-4</v>
      </c>
      <c r="N88" t="str">
        <f t="shared" ca="1" si="17"/>
        <v>wait</v>
      </c>
      <c r="O88">
        <f t="shared" si="24"/>
        <v>1.5834151662962093E-2</v>
      </c>
      <c r="P88">
        <f t="shared" si="25"/>
        <v>1.0970028298484147E-2</v>
      </c>
      <c r="Q88">
        <f t="shared" si="26"/>
        <v>5.5719975313168746E-3</v>
      </c>
      <c r="R88">
        <f t="shared" si="21"/>
        <v>1.6630438839138173E-2</v>
      </c>
      <c r="S88" s="3">
        <f t="shared" si="27"/>
        <v>-4.6086544341675346E-3</v>
      </c>
      <c r="T88" s="3">
        <f t="shared" si="18"/>
        <v>-1.292929440855118E-3</v>
      </c>
      <c r="V88" t="str">
        <f t="shared" si="19"/>
        <v>1-1-1</v>
      </c>
    </row>
    <row r="89" spans="1:22">
      <c r="A89" s="1">
        <v>45419</v>
      </c>
      <c r="B89" t="s">
        <v>7</v>
      </c>
      <c r="C89">
        <v>517.55999759999997</v>
      </c>
      <c r="D89">
        <v>518.57000730000004</v>
      </c>
      <c r="E89">
        <v>516.45001219999995</v>
      </c>
      <c r="F89">
        <v>517.14001459999997</v>
      </c>
      <c r="G89">
        <v>52561300</v>
      </c>
      <c r="H89">
        <f t="shared" si="22"/>
        <v>507.04400633999995</v>
      </c>
      <c r="I89">
        <f t="shared" si="13"/>
        <v>506.66550140500004</v>
      </c>
      <c r="J89" s="4">
        <f t="shared" si="14"/>
        <v>509.48370952580643</v>
      </c>
      <c r="K89">
        <f t="shared" si="20"/>
        <v>5.812978995293123E-3</v>
      </c>
      <c r="L89">
        <f t="shared" si="23"/>
        <v>-2.6476930999611806E-4</v>
      </c>
      <c r="M89" s="3">
        <f t="shared" si="16"/>
        <v>6.1801515672242938E-4</v>
      </c>
      <c r="N89" t="str">
        <f t="shared" ca="1" si="17"/>
        <v>wait</v>
      </c>
      <c r="O89">
        <f t="shared" si="24"/>
        <v>2.0739799955249882E-2</v>
      </c>
      <c r="P89">
        <f t="shared" si="25"/>
        <v>1.8787325835407653E-2</v>
      </c>
      <c r="Q89">
        <f t="shared" si="26"/>
        <v>1.2338143004899438E-2</v>
      </c>
      <c r="R89">
        <f t="shared" si="21"/>
        <v>6.7661454735825632E-3</v>
      </c>
      <c r="S89" s="3">
        <f t="shared" si="27"/>
        <v>-5.5314980010438214E-3</v>
      </c>
      <c r="T89" s="3">
        <f t="shared" si="18"/>
        <v>-9.2284356687628681E-4</v>
      </c>
      <c r="V89" t="str">
        <f t="shared" si="19"/>
        <v>1-1-1</v>
      </c>
    </row>
    <row r="90" spans="1:22">
      <c r="A90" s="1">
        <v>45420</v>
      </c>
      <c r="B90" t="s">
        <v>7</v>
      </c>
      <c r="C90">
        <v>515.26000980000003</v>
      </c>
      <c r="D90">
        <v>517.73999019999997</v>
      </c>
      <c r="E90">
        <v>515.14001459999997</v>
      </c>
      <c r="F90">
        <v>517.19000240000003</v>
      </c>
      <c r="G90">
        <v>42047200</v>
      </c>
      <c r="H90">
        <f t="shared" si="22"/>
        <v>510.07600705999994</v>
      </c>
      <c r="I90">
        <f t="shared" si="13"/>
        <v>506.55650176999995</v>
      </c>
      <c r="J90" s="4">
        <f t="shared" si="14"/>
        <v>509.79080643709682</v>
      </c>
      <c r="K90">
        <f t="shared" si="20"/>
        <v>6.711305404339037E-3</v>
      </c>
      <c r="L90">
        <f t="shared" si="23"/>
        <v>2.9370764887412851E-4</v>
      </c>
      <c r="M90" s="3">
        <f t="shared" si="16"/>
        <v>6.2944851448538887E-4</v>
      </c>
      <c r="N90" t="str">
        <f t="shared" ca="1" si="17"/>
        <v>wait</v>
      </c>
      <c r="O90">
        <f t="shared" si="24"/>
        <v>1.0163196598639956E-2</v>
      </c>
      <c r="P90">
        <f t="shared" si="25"/>
        <v>1.3848931222458116E-2</v>
      </c>
      <c r="Q90">
        <f t="shared" si="26"/>
        <v>1.2496186944253251E-2</v>
      </c>
      <c r="R90">
        <f t="shared" si="21"/>
        <v>1.5804393935381356E-4</v>
      </c>
      <c r="S90" s="3">
        <f t="shared" si="27"/>
        <v>-6.3443762152190679E-3</v>
      </c>
      <c r="T90" s="3">
        <f t="shared" si="18"/>
        <v>-8.128782141752465E-4</v>
      </c>
      <c r="V90" t="str">
        <f t="shared" si="19"/>
        <v>1-1-1</v>
      </c>
    </row>
    <row r="91" spans="1:22">
      <c r="A91" s="1">
        <v>45421</v>
      </c>
      <c r="B91" t="s">
        <v>7</v>
      </c>
      <c r="C91">
        <v>517.38000490000002</v>
      </c>
      <c r="D91">
        <v>520.21002199999998</v>
      </c>
      <c r="E91">
        <v>516.71002199999998</v>
      </c>
      <c r="F91">
        <v>520.16998290000004</v>
      </c>
      <c r="G91">
        <v>43643700</v>
      </c>
      <c r="H91">
        <f t="shared" si="22"/>
        <v>513.44400632000008</v>
      </c>
      <c r="I91">
        <f t="shared" si="13"/>
        <v>506.71000213499991</v>
      </c>
      <c r="J91" s="4">
        <f t="shared" si="14"/>
        <v>510.0951611967742</v>
      </c>
      <c r="K91">
        <f t="shared" si="20"/>
        <v>4.8155569486538945E-3</v>
      </c>
      <c r="L91">
        <f t="shared" si="23"/>
        <v>-7.8185096525094027E-5</v>
      </c>
      <c r="M91" s="3">
        <f t="shared" si="16"/>
        <v>5.3172352390191556E-4</v>
      </c>
      <c r="N91" t="str">
        <f t="shared" ca="1" si="17"/>
        <v>wait</v>
      </c>
      <c r="O91">
        <f t="shared" si="24"/>
        <v>7.6658769633135559E-3</v>
      </c>
      <c r="P91">
        <f t="shared" si="25"/>
        <v>7.2958220056915657E-3</v>
      </c>
      <c r="Q91">
        <f t="shared" si="26"/>
        <v>3.3032000746404666E-3</v>
      </c>
      <c r="R91">
        <f t="shared" si="21"/>
        <v>-9.1929868696127848E-3</v>
      </c>
      <c r="S91" s="3">
        <f t="shared" si="27"/>
        <v>-6.6363285113940343E-3</v>
      </c>
      <c r="T91" s="3">
        <f t="shared" si="18"/>
        <v>-2.9195229617496633E-4</v>
      </c>
      <c r="V91" t="str">
        <f t="shared" si="19"/>
        <v>1-1-1</v>
      </c>
    </row>
    <row r="92" spans="1:22">
      <c r="A92" s="1">
        <v>45422</v>
      </c>
      <c r="B92" t="s">
        <v>7</v>
      </c>
      <c r="C92">
        <v>521.80999759999997</v>
      </c>
      <c r="D92">
        <v>522.64001459999997</v>
      </c>
      <c r="E92">
        <v>519.5900269</v>
      </c>
      <c r="F92">
        <v>520.8400269</v>
      </c>
      <c r="G92">
        <v>52233200</v>
      </c>
      <c r="H92">
        <f t="shared" si="22"/>
        <v>516.47200313999997</v>
      </c>
      <c r="I92">
        <f t="shared" si="13"/>
        <v>506.81850128000008</v>
      </c>
      <c r="J92" s="4">
        <f t="shared" si="14"/>
        <v>510.40112846612902</v>
      </c>
      <c r="K92">
        <f t="shared" si="20"/>
        <v>3.4735567886615714E-3</v>
      </c>
      <c r="L92">
        <f t="shared" si="23"/>
        <v>9.1220286666451151E-4</v>
      </c>
      <c r="M92" s="3">
        <f t="shared" si="16"/>
        <v>6.3841442368446264E-4</v>
      </c>
      <c r="N92" t="str">
        <f t="shared" ca="1" si="17"/>
        <v>wait</v>
      </c>
      <c r="O92">
        <f t="shared" si="24"/>
        <v>1.0335496266102639E-2</v>
      </c>
      <c r="P92">
        <f t="shared" si="25"/>
        <v>7.1600778696956358E-3</v>
      </c>
      <c r="Q92">
        <f t="shared" si="26"/>
        <v>4.6085530009931652E-4</v>
      </c>
      <c r="R92">
        <f t="shared" si="21"/>
        <v>-2.8423447745411501E-3</v>
      </c>
      <c r="S92" s="3">
        <f t="shared" si="27"/>
        <v>-7.0192383721712206E-3</v>
      </c>
      <c r="T92" s="3">
        <f t="shared" si="18"/>
        <v>-3.8290986077718636E-4</v>
      </c>
      <c r="V92" t="str">
        <f t="shared" si="19"/>
        <v>1-1-1</v>
      </c>
    </row>
    <row r="93" spans="1:22">
      <c r="A93" s="1">
        <v>45425</v>
      </c>
      <c r="B93" t="s">
        <v>7</v>
      </c>
      <c r="C93">
        <v>522.55999759999997</v>
      </c>
      <c r="D93">
        <v>522.66998290000004</v>
      </c>
      <c r="E93">
        <v>519.73999019999997</v>
      </c>
      <c r="F93">
        <v>520.9099731</v>
      </c>
      <c r="G93">
        <v>36716400</v>
      </c>
      <c r="H93">
        <f t="shared" si="22"/>
        <v>518.38200682000002</v>
      </c>
      <c r="I93">
        <f t="shared" si="13"/>
        <v>507.31800231999995</v>
      </c>
      <c r="J93" s="4">
        <f t="shared" si="14"/>
        <v>510.72145130322582</v>
      </c>
      <c r="K93">
        <f t="shared" si="20"/>
        <v>1.6532201016928668E-3</v>
      </c>
      <c r="L93">
        <f t="shared" si="23"/>
        <v>1.6245429976817823E-3</v>
      </c>
      <c r="M93" s="3">
        <f t="shared" si="16"/>
        <v>9.0268920774510674E-4</v>
      </c>
      <c r="N93" t="str">
        <f t="shared" ca="1" si="17"/>
        <v>wait</v>
      </c>
      <c r="O93">
        <f t="shared" si="24"/>
        <v>8.0596755385660135E-3</v>
      </c>
      <c r="P93">
        <f t="shared" si="25"/>
        <v>4.741715660770307E-3</v>
      </c>
      <c r="Q93">
        <f t="shared" si="26"/>
        <v>2.3303665329947876E-3</v>
      </c>
      <c r="R93">
        <f t="shared" si="21"/>
        <v>1.8695112328954711E-3</v>
      </c>
      <c r="S93" s="3">
        <f t="shared" si="27"/>
        <v>-6.6640024117670628E-3</v>
      </c>
      <c r="T93" s="3">
        <f t="shared" si="18"/>
        <v>3.5523596040415786E-4</v>
      </c>
      <c r="V93" t="str">
        <f t="shared" si="19"/>
        <v>1-11</v>
      </c>
    </row>
    <row r="94" spans="1:22">
      <c r="A94" s="1">
        <v>45426</v>
      </c>
      <c r="B94" t="s">
        <v>7</v>
      </c>
      <c r="C94">
        <v>521.10998540000003</v>
      </c>
      <c r="D94">
        <v>523.83001709999996</v>
      </c>
      <c r="E94">
        <v>520.55999759999997</v>
      </c>
      <c r="F94">
        <v>523.29998780000005</v>
      </c>
      <c r="G94">
        <v>57535900</v>
      </c>
      <c r="H94">
        <f t="shared" si="22"/>
        <v>519.24999997999998</v>
      </c>
      <c r="I94">
        <f t="shared" si="13"/>
        <v>508.14100036500002</v>
      </c>
      <c r="J94" s="4">
        <f t="shared" si="14"/>
        <v>511.1541930209678</v>
      </c>
      <c r="K94">
        <f t="shared" si="20"/>
        <v>1.4580030141028773E-3</v>
      </c>
      <c r="L94">
        <f t="shared" si="23"/>
        <v>1.7258131929993776E-3</v>
      </c>
      <c r="M94" s="3">
        <f t="shared" si="16"/>
        <v>7.4680136767491759E-4</v>
      </c>
      <c r="N94" t="str">
        <f t="shared" ca="1" si="17"/>
        <v>wait</v>
      </c>
      <c r="O94">
        <f t="shared" si="24"/>
        <v>3.5820614734167755E-3</v>
      </c>
      <c r="P94">
        <f t="shared" si="25"/>
        <v>3.1968668657949006E-3</v>
      </c>
      <c r="Q94">
        <f t="shared" si="26"/>
        <v>9.4364991818740585E-4</v>
      </c>
      <c r="R94">
        <f t="shared" si="21"/>
        <v>-1.3867166148073817E-3</v>
      </c>
      <c r="S94" s="3">
        <f t="shared" si="27"/>
        <v>-5.8948800520632104E-3</v>
      </c>
      <c r="T94" s="3">
        <f t="shared" si="18"/>
        <v>7.6912235970385233E-4</v>
      </c>
      <c r="V94" t="str">
        <f t="shared" si="19"/>
        <v>1-11</v>
      </c>
    </row>
    <row r="95" spans="1:22">
      <c r="A95" s="1">
        <v>45427</v>
      </c>
      <c r="B95" t="s">
        <v>7</v>
      </c>
      <c r="C95">
        <v>525.83001709999996</v>
      </c>
      <c r="D95">
        <v>530.08001709999996</v>
      </c>
      <c r="E95">
        <v>525.17999269999996</v>
      </c>
      <c r="F95">
        <v>529.78002930000002</v>
      </c>
      <c r="G95">
        <v>59504900</v>
      </c>
      <c r="H95">
        <f t="shared" si="22"/>
        <v>520.48199462000002</v>
      </c>
      <c r="I95">
        <f t="shared" si="13"/>
        <v>509.12949981499986</v>
      </c>
      <c r="J95" s="4">
        <f t="shared" si="14"/>
        <v>511.5530636741936</v>
      </c>
      <c r="K95">
        <f t="shared" si="20"/>
        <v>2.3627623780996844E-3</v>
      </c>
      <c r="L95">
        <f t="shared" si="23"/>
        <v>2.2725003051133888E-3</v>
      </c>
      <c r="M95" s="3">
        <f t="shared" si="16"/>
        <v>7.0682448504967631E-4</v>
      </c>
      <c r="N95" t="str">
        <f t="shared" ca="1" si="17"/>
        <v>wait</v>
      </c>
      <c r="O95">
        <f t="shared" si="24"/>
        <v>1.0275134462440993E-2</v>
      </c>
      <c r="P95">
        <f t="shared" si="25"/>
        <v>5.4141991637144393E-3</v>
      </c>
      <c r="Q95">
        <f t="shared" si="26"/>
        <v>1.4986681730833062E-4</v>
      </c>
      <c r="R95">
        <f t="shared" si="21"/>
        <v>-7.9378310087907522E-4</v>
      </c>
      <c r="S95" s="3">
        <f t="shared" si="27"/>
        <v>-4.7376587714804382E-3</v>
      </c>
      <c r="T95" s="3">
        <f t="shared" si="18"/>
        <v>1.1572212805827722E-3</v>
      </c>
      <c r="V95" t="str">
        <f t="shared" si="19"/>
        <v>1-11</v>
      </c>
    </row>
    <row r="96" spans="1:22">
      <c r="A96" s="1">
        <v>45428</v>
      </c>
      <c r="B96" t="s">
        <v>7</v>
      </c>
      <c r="C96">
        <v>529.88000490000002</v>
      </c>
      <c r="D96">
        <v>531.52001949999999</v>
      </c>
      <c r="E96">
        <v>528.53997800000002</v>
      </c>
      <c r="F96">
        <v>528.69000240000003</v>
      </c>
      <c r="G96">
        <v>50244800</v>
      </c>
      <c r="H96">
        <f t="shared" si="22"/>
        <v>523</v>
      </c>
      <c r="I96">
        <f t="shared" si="13"/>
        <v>510.59100189000003</v>
      </c>
      <c r="J96" s="4">
        <f t="shared" si="14"/>
        <v>512.00096721451621</v>
      </c>
      <c r="K96">
        <f t="shared" si="20"/>
        <v>3.6949638448658694E-3</v>
      </c>
      <c r="L96">
        <f t="shared" si="23"/>
        <v>3.0289118520139954E-3</v>
      </c>
      <c r="M96" s="3">
        <f t="shared" si="16"/>
        <v>1.0099904208165896E-3</v>
      </c>
      <c r="N96" t="str">
        <f t="shared" ca="1" si="17"/>
        <v>wait</v>
      </c>
      <c r="O96">
        <f t="shared" si="24"/>
        <v>1.3154885086042123E-2</v>
      </c>
      <c r="P96">
        <f t="shared" si="25"/>
        <v>1.2963727151051652E-2</v>
      </c>
      <c r="Q96">
        <f t="shared" si="26"/>
        <v>4.1682460803058596E-3</v>
      </c>
      <c r="R96">
        <f t="shared" si="21"/>
        <v>4.018379262997529E-3</v>
      </c>
      <c r="S96" s="3">
        <f t="shared" si="27"/>
        <v>-2.7538333222043251E-3</v>
      </c>
      <c r="T96" s="3">
        <f t="shared" si="18"/>
        <v>1.9838254492761131E-3</v>
      </c>
      <c r="V96" t="str">
        <f t="shared" si="19"/>
        <v>1-11</v>
      </c>
    </row>
    <row r="97" spans="1:22">
      <c r="A97" s="1">
        <v>45429</v>
      </c>
      <c r="B97" t="s">
        <v>7</v>
      </c>
      <c r="C97">
        <v>528.80999759999997</v>
      </c>
      <c r="D97">
        <v>529.52001949999999</v>
      </c>
      <c r="E97">
        <v>527.32000730000004</v>
      </c>
      <c r="F97">
        <v>529.45001219999995</v>
      </c>
      <c r="G97">
        <v>59187600</v>
      </c>
      <c r="H97">
        <f t="shared" si="22"/>
        <v>524.70400390000009</v>
      </c>
      <c r="I97">
        <f t="shared" si="13"/>
        <v>512.04950256000006</v>
      </c>
      <c r="J97" s="4">
        <f t="shared" si="14"/>
        <v>512.47161225645164</v>
      </c>
      <c r="K97">
        <f t="shared" si="20"/>
        <v>3.0143518526110527E-3</v>
      </c>
      <c r="L97">
        <f t="shared" si="23"/>
        <v>3.385774138606989E-3</v>
      </c>
      <c r="M97" s="3">
        <f t="shared" si="16"/>
        <v>1.0712749271979223E-3</v>
      </c>
      <c r="N97" t="str">
        <f t="shared" ca="1" si="17"/>
        <v>wait</v>
      </c>
      <c r="O97">
        <f t="shared" si="24"/>
        <v>7.8253523309923523E-3</v>
      </c>
      <c r="P97">
        <f t="shared" si="25"/>
        <v>7.5966611086879521E-3</v>
      </c>
      <c r="Q97">
        <f t="shared" si="26"/>
        <v>7.3107391433799851E-3</v>
      </c>
      <c r="R97">
        <f t="shared" si="21"/>
        <v>3.1424930630741255E-3</v>
      </c>
      <c r="S97" s="3">
        <f t="shared" si="27"/>
        <v>-8.236742999148571E-4</v>
      </c>
      <c r="T97" s="3">
        <f t="shared" si="18"/>
        <v>1.9301590222894679E-3</v>
      </c>
      <c r="V97" t="str">
        <f t="shared" si="19"/>
        <v>1-11</v>
      </c>
    </row>
    <row r="98" spans="1:22">
      <c r="A98" s="1">
        <v>45432</v>
      </c>
      <c r="B98" t="s">
        <v>7</v>
      </c>
      <c r="C98">
        <v>529.57000730000004</v>
      </c>
      <c r="D98">
        <v>531.55999759999997</v>
      </c>
      <c r="E98">
        <v>529.16998290000004</v>
      </c>
      <c r="F98">
        <v>530.05999759999997</v>
      </c>
      <c r="G98">
        <v>37764200</v>
      </c>
      <c r="H98">
        <f t="shared" si="22"/>
        <v>526.42600096000001</v>
      </c>
      <c r="I98">
        <f t="shared" ref="I98:I161" si="28">AVERAGE(F78:F97)</f>
        <v>513.76400298499993</v>
      </c>
      <c r="J98" s="4">
        <f t="shared" si="14"/>
        <v>512.99887035967754</v>
      </c>
      <c r="K98">
        <f t="shared" si="20"/>
        <v>3.2788925307676909E-3</v>
      </c>
      <c r="L98">
        <f t="shared" si="23"/>
        <v>2.9746669063283365E-3</v>
      </c>
      <c r="M98" s="3">
        <f t="shared" si="16"/>
        <v>1.080697668026111E-3</v>
      </c>
      <c r="N98" t="str">
        <f t="shared" ca="1" si="17"/>
        <v>wait</v>
      </c>
      <c r="O98">
        <f t="shared" si="24"/>
        <v>5.9723614226245836E-3</v>
      </c>
      <c r="P98">
        <f t="shared" si="25"/>
        <v>5.7444184642956309E-3</v>
      </c>
      <c r="Q98">
        <f t="shared" si="26"/>
        <v>1.6982564280063617E-3</v>
      </c>
      <c r="R98">
        <f t="shared" si="21"/>
        <v>-5.6124827153736234E-3</v>
      </c>
      <c r="S98" s="3">
        <f t="shared" si="27"/>
        <v>1.4914898833713588E-3</v>
      </c>
      <c r="T98" s="3">
        <f t="shared" si="18"/>
        <v>2.3151641832862158E-3</v>
      </c>
      <c r="V98" t="str">
        <f t="shared" si="19"/>
        <v>111</v>
      </c>
    </row>
    <row r="99" spans="1:22">
      <c r="A99" s="1">
        <v>45433</v>
      </c>
      <c r="B99" t="s">
        <v>7</v>
      </c>
      <c r="C99">
        <v>529.28002930000002</v>
      </c>
      <c r="D99">
        <v>531.52001949999999</v>
      </c>
      <c r="E99">
        <v>529.07000730000004</v>
      </c>
      <c r="F99">
        <v>531.35998540000003</v>
      </c>
      <c r="G99">
        <v>33437000</v>
      </c>
      <c r="H99">
        <f t="shared" si="22"/>
        <v>528.25600585999996</v>
      </c>
      <c r="I99">
        <f t="shared" si="28"/>
        <v>515.28100280499996</v>
      </c>
      <c r="J99" s="4">
        <f t="shared" si="14"/>
        <v>513.52870916774202</v>
      </c>
      <c r="K99">
        <f t="shared" si="20"/>
        <v>2.583607856908083E-3</v>
      </c>
      <c r="L99">
        <f t="shared" si="23"/>
        <v>2.4137253035176934E-3</v>
      </c>
      <c r="M99" s="3">
        <f t="shared" si="16"/>
        <v>7.4088662068965425E-4</v>
      </c>
      <c r="N99" t="str">
        <f t="shared" ca="1" si="17"/>
        <v>wait</v>
      </c>
      <c r="O99">
        <f t="shared" si="24"/>
        <v>1.9384984337904587E-3</v>
      </c>
      <c r="P99">
        <f t="shared" si="25"/>
        <v>3.4149952295632335E-3</v>
      </c>
      <c r="Q99">
        <f t="shared" si="26"/>
        <v>1.7301782277177047E-3</v>
      </c>
      <c r="R99">
        <f t="shared" si="21"/>
        <v>3.1921799711343013E-5</v>
      </c>
      <c r="S99" s="3">
        <f t="shared" si="27"/>
        <v>3.412260319579437E-3</v>
      </c>
      <c r="T99" s="3">
        <f t="shared" si="18"/>
        <v>1.9207704362080782E-3</v>
      </c>
      <c r="V99" t="str">
        <f t="shared" si="19"/>
        <v>111</v>
      </c>
    </row>
    <row r="100" spans="1:22">
      <c r="A100" s="1">
        <v>45434</v>
      </c>
      <c r="B100" t="s">
        <v>7</v>
      </c>
      <c r="C100">
        <v>530.65002440000001</v>
      </c>
      <c r="D100">
        <v>531.38000490000002</v>
      </c>
      <c r="E100">
        <v>527.59997559999999</v>
      </c>
      <c r="F100">
        <v>529.83001709999996</v>
      </c>
      <c r="G100">
        <v>48390000</v>
      </c>
      <c r="H100">
        <f t="shared" si="22"/>
        <v>529.86800538</v>
      </c>
      <c r="I100">
        <f t="shared" si="28"/>
        <v>516.56650237999997</v>
      </c>
      <c r="J100" s="4">
        <f t="shared" si="14"/>
        <v>513.91354764193545</v>
      </c>
      <c r="K100">
        <f t="shared" si="20"/>
        <v>5.9645740217410793E-4</v>
      </c>
      <c r="L100">
        <f t="shared" si="23"/>
        <v>2.5672208217116482E-3</v>
      </c>
      <c r="M100" s="3">
        <f t="shared" si="16"/>
        <v>7.7155259156613852E-4</v>
      </c>
      <c r="N100" t="str">
        <f t="shared" ca="1" si="17"/>
        <v>wait</v>
      </c>
      <c r="O100">
        <f t="shared" si="24"/>
        <v>1.4758751463757047E-3</v>
      </c>
      <c r="P100">
        <f t="shared" si="25"/>
        <v>2.8157578960255059E-3</v>
      </c>
      <c r="Q100">
        <f t="shared" si="26"/>
        <v>-1.5060318266011397E-3</v>
      </c>
      <c r="R100">
        <f t="shared" si="21"/>
        <v>-3.2362100543188443E-3</v>
      </c>
      <c r="S100" s="3">
        <f t="shared" si="27"/>
        <v>5.1622588083880296E-3</v>
      </c>
      <c r="T100" s="3">
        <f t="shared" si="18"/>
        <v>1.7499984888085926E-3</v>
      </c>
      <c r="V100" t="str">
        <f t="shared" si="19"/>
        <v>111</v>
      </c>
    </row>
    <row r="101" spans="1:22">
      <c r="A101" s="1">
        <v>45435</v>
      </c>
      <c r="B101" t="s">
        <v>7</v>
      </c>
      <c r="C101">
        <v>532.96002199999998</v>
      </c>
      <c r="D101">
        <v>533.07000730000004</v>
      </c>
      <c r="E101">
        <v>524.71997069999998</v>
      </c>
      <c r="F101">
        <v>525.96002199999998</v>
      </c>
      <c r="G101">
        <v>57211200</v>
      </c>
      <c r="H101">
        <f t="shared" si="22"/>
        <v>529.87800293999999</v>
      </c>
      <c r="I101">
        <f t="shared" si="28"/>
        <v>517.78750304999983</v>
      </c>
      <c r="J101" s="4">
        <f t="shared" si="14"/>
        <v>514.26806394838718</v>
      </c>
      <c r="K101">
        <f t="shared" si="20"/>
        <v>4.3126016940922497E-4</v>
      </c>
      <c r="L101">
        <f t="shared" si="23"/>
        <v>2.6157448422695516E-3</v>
      </c>
      <c r="M101" s="3">
        <f t="shared" si="16"/>
        <v>7.852601619838638E-4</v>
      </c>
      <c r="N101" t="str">
        <f t="shared" ca="1" si="17"/>
        <v>wait</v>
      </c>
      <c r="O101">
        <f t="shared" si="24"/>
        <v>5.8164691549744685E-3</v>
      </c>
      <c r="P101">
        <f t="shared" si="25"/>
        <v>-9.0560166177477974E-5</v>
      </c>
      <c r="Q101">
        <f t="shared" si="26"/>
        <v>-4.2991543852745062E-3</v>
      </c>
      <c r="R101">
        <f t="shared" si="21"/>
        <v>-2.7931225586733666E-3</v>
      </c>
      <c r="S101" s="3">
        <f t="shared" si="27"/>
        <v>6.8435886813416127E-3</v>
      </c>
      <c r="T101" s="3">
        <f t="shared" si="18"/>
        <v>1.6813298729535832E-3</v>
      </c>
      <c r="V101" t="str">
        <f t="shared" si="19"/>
        <v>111</v>
      </c>
    </row>
    <row r="102" spans="1:22">
      <c r="A102" s="1">
        <v>45436</v>
      </c>
      <c r="B102" t="s">
        <v>7</v>
      </c>
      <c r="C102">
        <v>527.84997559999999</v>
      </c>
      <c r="D102">
        <v>530.27001949999999</v>
      </c>
      <c r="E102">
        <v>526.88000490000002</v>
      </c>
      <c r="F102">
        <v>529.44000240000003</v>
      </c>
      <c r="G102">
        <v>41291100</v>
      </c>
      <c r="H102">
        <f t="shared" si="22"/>
        <v>529.33200685999998</v>
      </c>
      <c r="I102">
        <f t="shared" si="28"/>
        <v>518.91100463999987</v>
      </c>
      <c r="J102" s="4">
        <f t="shared" si="14"/>
        <v>514.59016123548383</v>
      </c>
      <c r="K102">
        <f t="shared" si="20"/>
        <v>-1.3183454980001475E-3</v>
      </c>
      <c r="L102">
        <f t="shared" si="23"/>
        <v>1.741235967685609E-3</v>
      </c>
      <c r="M102" s="3">
        <f t="shared" si="16"/>
        <v>6.2566263501338782E-4</v>
      </c>
      <c r="N102" t="str">
        <f t="shared" ca="1" si="17"/>
        <v>wait</v>
      </c>
      <c r="O102">
        <f t="shared" si="24"/>
        <v>-2.7998141823907252E-3</v>
      </c>
      <c r="P102">
        <f t="shared" si="25"/>
        <v>-6.3702644395199348E-3</v>
      </c>
      <c r="Q102">
        <f t="shared" si="26"/>
        <v>-8.7129364939758647E-3</v>
      </c>
      <c r="R102">
        <f t="shared" si="21"/>
        <v>-4.4137821087013585E-3</v>
      </c>
      <c r="S102" s="3">
        <f t="shared" si="27"/>
        <v>8.3966692914261929E-3</v>
      </c>
      <c r="T102" s="3">
        <f t="shared" si="18"/>
        <v>1.5530806100845802E-3</v>
      </c>
      <c r="V102" t="str">
        <f t="shared" si="19"/>
        <v>111</v>
      </c>
    </row>
    <row r="103" spans="1:22">
      <c r="A103" s="1">
        <v>45440</v>
      </c>
      <c r="B103" t="s">
        <v>7</v>
      </c>
      <c r="C103">
        <v>530.27001949999999</v>
      </c>
      <c r="D103">
        <v>530.51000980000003</v>
      </c>
      <c r="E103">
        <v>527.10998540000003</v>
      </c>
      <c r="F103">
        <v>529.80999759999997</v>
      </c>
      <c r="G103">
        <v>36269600</v>
      </c>
      <c r="H103">
        <f t="shared" si="22"/>
        <v>529.33000490000006</v>
      </c>
      <c r="I103">
        <f t="shared" si="28"/>
        <v>519.97000426999989</v>
      </c>
      <c r="J103" s="4">
        <f t="shared" si="14"/>
        <v>514.9532259080645</v>
      </c>
      <c r="K103">
        <f t="shared" si="20"/>
        <v>-2.3393397079845909E-4</v>
      </c>
      <c r="L103">
        <f t="shared" si="23"/>
        <v>1.8997769763546787E-3</v>
      </c>
      <c r="M103" s="3">
        <f t="shared" si="16"/>
        <v>7.6311223980069702E-4</v>
      </c>
      <c r="N103" t="str">
        <f t="shared" ca="1" si="17"/>
        <v>wait</v>
      </c>
      <c r="O103">
        <f t="shared" si="24"/>
        <v>1.7758573882042938E-3</v>
      </c>
      <c r="P103">
        <f t="shared" si="25"/>
        <v>2.0780514798279803E-4</v>
      </c>
      <c r="Q103">
        <f t="shared" si="26"/>
        <v>-4.6284925799037202E-3</v>
      </c>
      <c r="R103">
        <f t="shared" si="21"/>
        <v>4.0844439140721445E-3</v>
      </c>
      <c r="S103" s="3">
        <f t="shared" si="27"/>
        <v>9.7422020283276147E-3</v>
      </c>
      <c r="T103" s="3">
        <f t="shared" si="18"/>
        <v>1.3455327369014218E-3</v>
      </c>
      <c r="V103" t="str">
        <f t="shared" si="19"/>
        <v>111</v>
      </c>
    </row>
    <row r="104" spans="1:22">
      <c r="A104" s="1">
        <v>45441</v>
      </c>
      <c r="B104" t="s">
        <v>7</v>
      </c>
      <c r="C104">
        <v>525.67999269999996</v>
      </c>
      <c r="D104">
        <v>527.30999759999997</v>
      </c>
      <c r="E104">
        <v>525.36999509999998</v>
      </c>
      <c r="F104">
        <v>526.09997559999999</v>
      </c>
      <c r="G104">
        <v>45190300</v>
      </c>
      <c r="H104">
        <f t="shared" si="22"/>
        <v>529.28000489999999</v>
      </c>
      <c r="I104">
        <f t="shared" si="28"/>
        <v>520.95750426999996</v>
      </c>
      <c r="J104" s="4">
        <f t="shared" si="14"/>
        <v>515.33306442096773</v>
      </c>
      <c r="K104">
        <f t="shared" si="20"/>
        <v>-5.8340403590354862E-4</v>
      </c>
      <c r="L104">
        <f t="shared" si="23"/>
        <v>2.7720213942941229E-3</v>
      </c>
      <c r="M104" s="3">
        <f t="shared" si="16"/>
        <v>7.1281463460816396E-4</v>
      </c>
      <c r="N104" t="str">
        <f t="shared" ca="1" si="17"/>
        <v>wait</v>
      </c>
      <c r="O104">
        <f t="shared" si="24"/>
        <v>-6.8017158529920518E-3</v>
      </c>
      <c r="P104">
        <f t="shared" si="25"/>
        <v>1.0013465369811403E-3</v>
      </c>
      <c r="Q104">
        <f t="shared" si="26"/>
        <v>-4.0999461153080619E-3</v>
      </c>
      <c r="R104">
        <f t="shared" si="21"/>
        <v>5.2854646459565835E-4</v>
      </c>
      <c r="S104" s="3">
        <f t="shared" si="27"/>
        <v>1.0914183927537995E-2</v>
      </c>
      <c r="T104" s="3">
        <f t="shared" si="18"/>
        <v>1.1719818992103805E-3</v>
      </c>
      <c r="V104" t="str">
        <f t="shared" si="19"/>
        <v>111</v>
      </c>
    </row>
    <row r="105" spans="1:22">
      <c r="A105" s="1">
        <v>45442</v>
      </c>
      <c r="B105" t="s">
        <v>7</v>
      </c>
      <c r="C105">
        <v>524.52001949999999</v>
      </c>
      <c r="D105">
        <v>525.20001219999995</v>
      </c>
      <c r="E105">
        <v>521.33001709999996</v>
      </c>
      <c r="F105">
        <v>522.60998540000003</v>
      </c>
      <c r="G105">
        <v>46377600</v>
      </c>
      <c r="H105">
        <f t="shared" si="22"/>
        <v>528.22800294000001</v>
      </c>
      <c r="I105">
        <f t="shared" si="28"/>
        <v>522.16350249999994</v>
      </c>
      <c r="J105" s="4">
        <f t="shared" si="14"/>
        <v>515.62370940483868</v>
      </c>
      <c r="K105">
        <f t="shared" si="20"/>
        <v>-1.408014412024513E-3</v>
      </c>
      <c r="L105">
        <f t="shared" si="23"/>
        <v>2.573195681629874E-3</v>
      </c>
      <c r="M105" s="3">
        <f t="shared" si="16"/>
        <v>4.3060026097295451E-4</v>
      </c>
      <c r="N105" t="str">
        <f t="shared" ca="1" si="17"/>
        <v>wait</v>
      </c>
      <c r="O105">
        <f t="shared" si="24"/>
        <v>-7.0196646511775374E-3</v>
      </c>
      <c r="P105">
        <f t="shared" si="25"/>
        <v>-4.0286151589008501E-3</v>
      </c>
      <c r="Q105">
        <f t="shared" si="26"/>
        <v>-5.4105572292513227E-3</v>
      </c>
      <c r="R105">
        <f t="shared" si="21"/>
        <v>-1.3106111139432608E-3</v>
      </c>
      <c r="S105" s="3">
        <f t="shared" si="27"/>
        <v>1.268326683951335E-2</v>
      </c>
      <c r="T105" s="3">
        <f t="shared" si="18"/>
        <v>1.7690829119753546E-3</v>
      </c>
      <c r="V105" t="str">
        <f t="shared" si="19"/>
        <v>111</v>
      </c>
    </row>
    <row r="106" spans="1:22">
      <c r="A106" s="1">
        <v>45443</v>
      </c>
      <c r="B106" t="s">
        <v>7</v>
      </c>
      <c r="C106">
        <v>523.5900269</v>
      </c>
      <c r="D106">
        <v>527.5</v>
      </c>
      <c r="E106">
        <v>518.35998540000003</v>
      </c>
      <c r="F106">
        <v>527.36999509999998</v>
      </c>
      <c r="G106">
        <v>90785800</v>
      </c>
      <c r="H106">
        <f t="shared" si="22"/>
        <v>526.78399659999991</v>
      </c>
      <c r="I106">
        <f t="shared" si="28"/>
        <v>523.27650146500002</v>
      </c>
      <c r="J106" s="4">
        <f t="shared" si="14"/>
        <v>515.78112891774185</v>
      </c>
      <c r="K106">
        <f t="shared" si="20"/>
        <v>-1.2738749942481193E-3</v>
      </c>
      <c r="L106">
        <f t="shared" si="23"/>
        <v>1.7404893414026674E-3</v>
      </c>
      <c r="M106" s="3">
        <f t="shared" si="16"/>
        <v>3.3541537658676648E-4</v>
      </c>
      <c r="N106" t="str">
        <f t="shared" ca="1" si="17"/>
        <v>wait</v>
      </c>
      <c r="O106">
        <f t="shared" si="24"/>
        <v>-6.0631486920912359E-3</v>
      </c>
      <c r="P106">
        <f t="shared" si="25"/>
        <v>-7.9235725210713426E-3</v>
      </c>
      <c r="Q106">
        <f t="shared" si="26"/>
        <v>-1.0353350776032166E-2</v>
      </c>
      <c r="R106">
        <f t="shared" si="21"/>
        <v>-4.9427935467808437E-3</v>
      </c>
      <c r="S106" s="3">
        <f t="shared" si="27"/>
        <v>1.4532079843606594E-2</v>
      </c>
      <c r="T106" s="3">
        <f t="shared" si="18"/>
        <v>1.8488130040932443E-3</v>
      </c>
      <c r="V106" t="str">
        <f t="shared" si="19"/>
        <v>111</v>
      </c>
    </row>
    <row r="107" spans="1:22">
      <c r="A107" s="1">
        <v>45446</v>
      </c>
      <c r="B107" t="s">
        <v>7</v>
      </c>
      <c r="C107">
        <v>529.02001949999999</v>
      </c>
      <c r="D107">
        <v>529.30999759999997</v>
      </c>
      <c r="E107">
        <v>522.59997559999999</v>
      </c>
      <c r="F107">
        <v>527.79998780000005</v>
      </c>
      <c r="G107">
        <v>46835700</v>
      </c>
      <c r="H107">
        <f t="shared" si="22"/>
        <v>527.06599122</v>
      </c>
      <c r="I107">
        <f t="shared" si="28"/>
        <v>524.39350128000001</v>
      </c>
      <c r="J107" s="4">
        <f t="shared" si="14"/>
        <v>516.02419355161283</v>
      </c>
      <c r="K107">
        <f t="shared" si="20"/>
        <v>-7.8196104964358955E-4</v>
      </c>
      <c r="L107">
        <f t="shared" si="23"/>
        <v>1.5724917691208886E-3</v>
      </c>
      <c r="M107" s="3">
        <f t="shared" si="16"/>
        <v>6.6347262282296152E-4</v>
      </c>
      <c r="N107" t="str">
        <f t="shared" ca="1" si="17"/>
        <v>wait</v>
      </c>
      <c r="O107">
        <f t="shared" si="24"/>
        <v>3.7073693096323357E-3</v>
      </c>
      <c r="P107">
        <f t="shared" si="25"/>
        <v>5.7678523195225928E-4</v>
      </c>
      <c r="Q107">
        <f t="shared" si="26"/>
        <v>-1.6517866766262324E-2</v>
      </c>
      <c r="R107">
        <f t="shared" si="21"/>
        <v>-6.1645159902301572E-3</v>
      </c>
      <c r="S107" s="3">
        <f t="shared" si="27"/>
        <v>1.621882817312147E-2</v>
      </c>
      <c r="T107" s="3">
        <f t="shared" si="18"/>
        <v>1.6867483295148755E-3</v>
      </c>
      <c r="V107" t="str">
        <f t="shared" si="19"/>
        <v>111</v>
      </c>
    </row>
    <row r="108" spans="1:22">
      <c r="A108" s="1">
        <v>45447</v>
      </c>
      <c r="B108" t="s">
        <v>7</v>
      </c>
      <c r="C108">
        <v>526.46002199999998</v>
      </c>
      <c r="D108">
        <v>529.15002440000001</v>
      </c>
      <c r="E108">
        <v>524.96002199999998</v>
      </c>
      <c r="F108">
        <v>528.39001459999997</v>
      </c>
      <c r="G108">
        <v>34632700</v>
      </c>
      <c r="H108">
        <f t="shared" si="22"/>
        <v>526.73798829999998</v>
      </c>
      <c r="I108">
        <f t="shared" si="28"/>
        <v>525.21900024500007</v>
      </c>
      <c r="J108" s="4">
        <f t="shared" si="14"/>
        <v>516.35677411774202</v>
      </c>
      <c r="K108">
        <f t="shared" si="20"/>
        <v>-7.5876627813937678E-4</v>
      </c>
      <c r="L108">
        <f t="shared" si="23"/>
        <v>1.0869756607334497E-3</v>
      </c>
      <c r="M108" s="3">
        <f t="shared" si="16"/>
        <v>5.901581755762646E-4</v>
      </c>
      <c r="N108" t="str">
        <f t="shared" ca="1" si="17"/>
        <v>wait</v>
      </c>
      <c r="O108">
        <f t="shared" si="24"/>
        <v>-5.2771265064266437E-4</v>
      </c>
      <c r="P108">
        <f t="shared" si="25"/>
        <v>2.0161817138490967E-3</v>
      </c>
      <c r="Q108">
        <f t="shared" si="26"/>
        <v>-7.8559222837810694E-3</v>
      </c>
      <c r="R108">
        <f t="shared" si="21"/>
        <v>8.6619444824812541E-3</v>
      </c>
      <c r="S108" s="3">
        <f t="shared" si="27"/>
        <v>1.7162989954765753E-2</v>
      </c>
      <c r="T108" s="3">
        <f t="shared" si="18"/>
        <v>9.4416178164428294E-4</v>
      </c>
      <c r="V108" t="str">
        <f t="shared" si="19"/>
        <v>111</v>
      </c>
    </row>
    <row r="109" spans="1:22">
      <c r="A109" s="1">
        <v>45448</v>
      </c>
      <c r="B109" t="s">
        <v>7</v>
      </c>
      <c r="C109">
        <v>530.77001949999999</v>
      </c>
      <c r="D109">
        <v>534.69000240000003</v>
      </c>
      <c r="E109">
        <v>528.72998050000001</v>
      </c>
      <c r="F109">
        <v>534.66998290000004</v>
      </c>
      <c r="G109">
        <v>47610400</v>
      </c>
      <c r="H109">
        <f t="shared" si="22"/>
        <v>526.45399169999996</v>
      </c>
      <c r="I109">
        <f t="shared" si="28"/>
        <v>525.81000061000009</v>
      </c>
      <c r="J109" s="4">
        <f t="shared" si="14"/>
        <v>516.65741951451616</v>
      </c>
      <c r="K109">
        <f t="shared" si="20"/>
        <v>8.7057179479556649E-4</v>
      </c>
      <c r="L109">
        <f t="shared" si="23"/>
        <v>1.0877131610770544E-3</v>
      </c>
      <c r="M109" s="3">
        <f t="shared" si="16"/>
        <v>4.3964495196638473E-4</v>
      </c>
      <c r="N109" t="str">
        <f t="shared" ca="1" si="17"/>
        <v>wait</v>
      </c>
      <c r="O109">
        <f t="shared" si="24"/>
        <v>8.198300075687337E-3</v>
      </c>
      <c r="P109">
        <f t="shared" si="25"/>
        <v>3.6774778623072102E-3</v>
      </c>
      <c r="Q109">
        <f t="shared" si="26"/>
        <v>-2.8377972691890907E-3</v>
      </c>
      <c r="R109">
        <f t="shared" si="21"/>
        <v>5.0181250145919787E-3</v>
      </c>
      <c r="S109" s="3">
        <f t="shared" si="27"/>
        <v>1.7714990145857704E-2</v>
      </c>
      <c r="T109" s="3">
        <f t="shared" si="18"/>
        <v>5.520001910919517E-4</v>
      </c>
      <c r="V109" t="str">
        <f t="shared" si="19"/>
        <v>111</v>
      </c>
    </row>
    <row r="110" spans="1:22">
      <c r="A110" s="1">
        <v>45449</v>
      </c>
      <c r="B110" t="s">
        <v>7</v>
      </c>
      <c r="C110">
        <v>534.97998050000001</v>
      </c>
      <c r="D110">
        <v>535.41998290000004</v>
      </c>
      <c r="E110">
        <v>532.67999269999996</v>
      </c>
      <c r="F110">
        <v>534.6599731</v>
      </c>
      <c r="G110">
        <v>30808500</v>
      </c>
      <c r="H110">
        <f t="shared" si="22"/>
        <v>528.16799315999992</v>
      </c>
      <c r="I110">
        <f t="shared" si="28"/>
        <v>526.68649902499999</v>
      </c>
      <c r="J110" s="4">
        <f t="shared" si="14"/>
        <v>516.97774185806452</v>
      </c>
      <c r="K110">
        <f t="shared" si="20"/>
        <v>4.6152954734569093E-3</v>
      </c>
      <c r="L110">
        <f t="shared" si="23"/>
        <v>1.6898993038230478E-3</v>
      </c>
      <c r="M110" s="3">
        <f t="shared" si="16"/>
        <v>7.4747849234547449E-4</v>
      </c>
      <c r="N110" t="str">
        <f t="shared" ca="1" si="17"/>
        <v>wait</v>
      </c>
      <c r="O110">
        <f t="shared" si="24"/>
        <v>1.2897387627077483E-2</v>
      </c>
      <c r="P110">
        <f t="shared" si="25"/>
        <v>1.2310457703237798E-2</v>
      </c>
      <c r="Q110">
        <f t="shared" si="26"/>
        <v>1.0640314204535262E-3</v>
      </c>
      <c r="R110">
        <f t="shared" si="21"/>
        <v>3.9018286896426169E-3</v>
      </c>
      <c r="S110" s="3">
        <f t="shared" si="27"/>
        <v>1.8779835921061753E-2</v>
      </c>
      <c r="T110" s="3">
        <f t="shared" si="18"/>
        <v>1.0648457752040486E-3</v>
      </c>
      <c r="V110" t="str">
        <f t="shared" si="19"/>
        <v>111</v>
      </c>
    </row>
    <row r="111" spans="1:22">
      <c r="A111" s="1">
        <v>45450</v>
      </c>
      <c r="B111" t="s">
        <v>7</v>
      </c>
      <c r="C111">
        <v>533.6599731</v>
      </c>
      <c r="D111">
        <v>536.89001459999997</v>
      </c>
      <c r="E111">
        <v>532.53997800000002</v>
      </c>
      <c r="F111">
        <v>534.01000980000003</v>
      </c>
      <c r="G111">
        <v>43224500</v>
      </c>
      <c r="H111">
        <f t="shared" si="22"/>
        <v>530.57799069999999</v>
      </c>
      <c r="I111">
        <f t="shared" si="28"/>
        <v>527.55999756000006</v>
      </c>
      <c r="J111" s="4">
        <f t="shared" si="14"/>
        <v>517.34774140483876</v>
      </c>
      <c r="K111">
        <f t="shared" si="20"/>
        <v>2.7646540636494469E-3</v>
      </c>
      <c r="L111">
        <f t="shared" si="23"/>
        <v>1.3928129915548771E-3</v>
      </c>
      <c r="M111" s="3">
        <f t="shared" si="16"/>
        <v>7.6213863098087138E-4</v>
      </c>
      <c r="N111" t="str">
        <f t="shared" ca="1" si="17"/>
        <v>wait</v>
      </c>
      <c r="O111">
        <f t="shared" si="24"/>
        <v>5.8087264342305822E-3</v>
      </c>
      <c r="P111">
        <f t="shared" si="25"/>
        <v>7.6934634899095133E-3</v>
      </c>
      <c r="Q111">
        <f t="shared" si="26"/>
        <v>3.9617210605114028E-3</v>
      </c>
      <c r="R111">
        <f t="shared" si="21"/>
        <v>2.8976896400578767E-3</v>
      </c>
      <c r="S111" s="3">
        <f t="shared" si="27"/>
        <v>1.9739636105166505E-2</v>
      </c>
      <c r="T111" s="3">
        <f t="shared" si="18"/>
        <v>9.5980018410475251E-4</v>
      </c>
      <c r="V111" t="str">
        <f t="shared" si="19"/>
        <v>111</v>
      </c>
    </row>
    <row r="112" spans="1:22">
      <c r="A112" s="1">
        <v>45453</v>
      </c>
      <c r="B112" t="s">
        <v>7</v>
      </c>
      <c r="C112">
        <v>533.17999269999996</v>
      </c>
      <c r="D112">
        <v>535.98999019999997</v>
      </c>
      <c r="E112">
        <v>532.57000730000004</v>
      </c>
      <c r="F112">
        <v>535.6599731</v>
      </c>
      <c r="G112">
        <v>35686100</v>
      </c>
      <c r="H112">
        <f t="shared" si="22"/>
        <v>531.90599364000013</v>
      </c>
      <c r="I112">
        <f t="shared" si="28"/>
        <v>528.25199890500016</v>
      </c>
      <c r="J112" s="4">
        <f t="shared" si="14"/>
        <v>517.71435448548391</v>
      </c>
      <c r="K112">
        <f t="shared" si="20"/>
        <v>2.3531724681862451E-3</v>
      </c>
      <c r="L112">
        <f t="shared" si="23"/>
        <v>1.2643021100343197E-3</v>
      </c>
      <c r="M112" s="3">
        <f t="shared" si="16"/>
        <v>5.5568389911592674E-4</v>
      </c>
      <c r="N112" t="str">
        <f t="shared" ca="1" si="17"/>
        <v>wait</v>
      </c>
      <c r="O112">
        <f t="shared" si="24"/>
        <v>2.3951583084849126E-3</v>
      </c>
      <c r="P112">
        <f t="shared" si="25"/>
        <v>3.9556165660052933E-3</v>
      </c>
      <c r="Q112">
        <f t="shared" si="26"/>
        <v>1.1919105397955043E-3</v>
      </c>
      <c r="R112">
        <f t="shared" si="21"/>
        <v>-2.7698105207158985E-3</v>
      </c>
      <c r="S112" s="3">
        <f t="shared" si="27"/>
        <v>2.0354166980725889E-2</v>
      </c>
      <c r="T112" s="3">
        <f t="shared" si="18"/>
        <v>6.1453087555938396E-4</v>
      </c>
      <c r="V112" t="str">
        <f t="shared" si="19"/>
        <v>111</v>
      </c>
    </row>
    <row r="113" spans="1:22">
      <c r="A113" s="1">
        <v>45454</v>
      </c>
      <c r="B113" t="s">
        <v>7</v>
      </c>
      <c r="C113">
        <v>534.07000730000004</v>
      </c>
      <c r="D113">
        <v>537.01000980000003</v>
      </c>
      <c r="E113">
        <v>532.04998780000005</v>
      </c>
      <c r="F113">
        <v>536.95001219999995</v>
      </c>
      <c r="G113">
        <v>36383400</v>
      </c>
      <c r="H113">
        <f t="shared" si="22"/>
        <v>533.47799070000008</v>
      </c>
      <c r="I113">
        <f t="shared" si="28"/>
        <v>528.99299621500018</v>
      </c>
      <c r="J113" s="4">
        <f t="shared" si="14"/>
        <v>518.01886970806447</v>
      </c>
      <c r="K113">
        <f t="shared" si="20"/>
        <v>2.7517395481076639E-3</v>
      </c>
      <c r="L113">
        <f t="shared" si="23"/>
        <v>1.4157916685891918E-3</v>
      </c>
      <c r="M113" s="3">
        <f t="shared" si="16"/>
        <v>6.3601900362816421E-4</v>
      </c>
      <c r="N113" t="str">
        <f t="shared" ca="1" si="17"/>
        <v>wait</v>
      </c>
      <c r="O113">
        <f t="shared" si="24"/>
        <v>1.1097301300531104E-3</v>
      </c>
      <c r="P113">
        <f t="shared" si="25"/>
        <v>4.0901076296264716E-3</v>
      </c>
      <c r="Q113">
        <f t="shared" si="26"/>
        <v>-1.7020072352162963E-3</v>
      </c>
      <c r="R113">
        <f t="shared" si="21"/>
        <v>-2.8939177750118006E-3</v>
      </c>
      <c r="S113" s="3">
        <f t="shared" si="27"/>
        <v>2.1184800687126127E-2</v>
      </c>
      <c r="T113" s="3">
        <f t="shared" si="18"/>
        <v>8.3063370640023768E-4</v>
      </c>
      <c r="V113" t="str">
        <f t="shared" si="19"/>
        <v>111</v>
      </c>
    </row>
    <row r="114" spans="1:22">
      <c r="A114" s="1">
        <v>45455</v>
      </c>
      <c r="B114" t="s">
        <v>7</v>
      </c>
      <c r="C114">
        <v>541.63000490000002</v>
      </c>
      <c r="D114">
        <v>544.11999509999998</v>
      </c>
      <c r="E114">
        <v>540.29998780000005</v>
      </c>
      <c r="F114">
        <v>541.35998540000003</v>
      </c>
      <c r="G114">
        <v>63251300</v>
      </c>
      <c r="H114">
        <f t="shared" si="22"/>
        <v>535.18999022000003</v>
      </c>
      <c r="I114">
        <f t="shared" si="28"/>
        <v>529.7949981700001</v>
      </c>
      <c r="J114" s="4">
        <f t="shared" si="14"/>
        <v>518.35725747419349</v>
      </c>
      <c r="K114">
        <f t="shared" si="20"/>
        <v>8.528735006342582E-4</v>
      </c>
      <c r="L114">
        <f t="shared" si="23"/>
        <v>1.304225560694719E-3</v>
      </c>
      <c r="M114" s="3">
        <f t="shared" si="16"/>
        <v>7.1204322357459827E-4</v>
      </c>
      <c r="N114" t="str">
        <f t="shared" ca="1" si="17"/>
        <v>wait</v>
      </c>
      <c r="O114">
        <f t="shared" si="24"/>
        <v>1.2033137386132209E-2</v>
      </c>
      <c r="P114">
        <f t="shared" si="25"/>
        <v>3.2885928589143631E-3</v>
      </c>
      <c r="Q114">
        <f t="shared" si="26"/>
        <v>-5.8670798732787244E-3</v>
      </c>
      <c r="R114">
        <f t="shared" si="21"/>
        <v>-4.1650726380624281E-3</v>
      </c>
      <c r="S114" s="3">
        <f t="shared" si="27"/>
        <v>2.2065362316984711E-2</v>
      </c>
      <c r="T114" s="3">
        <f t="shared" si="18"/>
        <v>8.8056162985858388E-4</v>
      </c>
      <c r="V114" t="str">
        <f t="shared" si="19"/>
        <v>111</v>
      </c>
    </row>
    <row r="115" spans="1:22">
      <c r="A115" s="1">
        <v>45456</v>
      </c>
      <c r="B115" t="s">
        <v>7</v>
      </c>
      <c r="C115">
        <v>543.15002440000001</v>
      </c>
      <c r="D115">
        <v>543.33001709999996</v>
      </c>
      <c r="E115">
        <v>539.5900269</v>
      </c>
      <c r="F115">
        <v>542.45001219999995</v>
      </c>
      <c r="G115">
        <v>44760900</v>
      </c>
      <c r="H115">
        <f t="shared" si="22"/>
        <v>536.52799071999993</v>
      </c>
      <c r="I115">
        <f t="shared" si="28"/>
        <v>530.69799805000014</v>
      </c>
      <c r="J115" s="4">
        <f t="shared" si="14"/>
        <v>518.78322478387099</v>
      </c>
      <c r="K115">
        <f t="shared" si="20"/>
        <v>2.5062703913116347E-3</v>
      </c>
      <c r="L115">
        <f t="shared" si="23"/>
        <v>1.0929022858129096E-3</v>
      </c>
      <c r="M115" s="3">
        <f t="shared" si="16"/>
        <v>1.0307357233035708E-3</v>
      </c>
      <c r="N115" t="str">
        <f t="shared" ca="1" si="17"/>
        <v>wait</v>
      </c>
      <c r="O115">
        <f t="shared" si="24"/>
        <v>1.2342382493620851E-2</v>
      </c>
      <c r="P115">
        <f t="shared" si="25"/>
        <v>9.0060439782755353E-3</v>
      </c>
      <c r="Q115">
        <f t="shared" si="26"/>
        <v>7.0303826552240434E-3</v>
      </c>
      <c r="R115">
        <f t="shared" si="21"/>
        <v>1.2897462528502768E-2</v>
      </c>
      <c r="S115" s="3">
        <f t="shared" si="27"/>
        <v>2.2966766651124716E-2</v>
      </c>
      <c r="T115" s="3">
        <f t="shared" si="18"/>
        <v>9.0140433414000534E-4</v>
      </c>
      <c r="V115" t="str">
        <f t="shared" si="19"/>
        <v>111</v>
      </c>
    </row>
    <row r="116" spans="1:22">
      <c r="A116" s="1">
        <v>45457</v>
      </c>
      <c r="B116" t="s">
        <v>7</v>
      </c>
      <c r="C116">
        <v>540.88000490000002</v>
      </c>
      <c r="D116">
        <v>542.80999759999997</v>
      </c>
      <c r="E116">
        <v>539.84997559999999</v>
      </c>
      <c r="F116">
        <v>542.78002930000002</v>
      </c>
      <c r="G116">
        <v>40089900</v>
      </c>
      <c r="H116">
        <f t="shared" si="22"/>
        <v>538.08599853999999</v>
      </c>
      <c r="I116">
        <f t="shared" si="28"/>
        <v>531.331497195</v>
      </c>
      <c r="J116" s="4">
        <f t="shared" si="14"/>
        <v>519.30935422903224</v>
      </c>
      <c r="K116">
        <f t="shared" si="20"/>
        <v>3.1609903354286942E-3</v>
      </c>
      <c r="L116">
        <f t="shared" si="23"/>
        <v>1.3013306226272532E-3</v>
      </c>
      <c r="M116" s="3">
        <f t="shared" si="16"/>
        <v>9.616018550339645E-4</v>
      </c>
      <c r="N116" t="str">
        <f t="shared" ca="1" si="17"/>
        <v>wait</v>
      </c>
      <c r="O116">
        <f t="shared" si="24"/>
        <v>5.1924903594984251E-3</v>
      </c>
      <c r="P116">
        <f t="shared" si="25"/>
        <v>8.1102531413954626E-3</v>
      </c>
      <c r="Q116">
        <f t="shared" si="26"/>
        <v>2.7951449472405354E-3</v>
      </c>
      <c r="R116">
        <f t="shared" si="21"/>
        <v>-4.235237707983508E-3</v>
      </c>
      <c r="S116" s="3">
        <f t="shared" si="27"/>
        <v>2.3150253058344884E-2</v>
      </c>
      <c r="T116" s="3">
        <f t="shared" si="18"/>
        <v>1.8348640722016737E-4</v>
      </c>
      <c r="V116" t="str">
        <f t="shared" si="19"/>
        <v>111</v>
      </c>
    </row>
    <row r="117" spans="1:22">
      <c r="A117" s="1">
        <v>45460</v>
      </c>
      <c r="B117" t="s">
        <v>7</v>
      </c>
      <c r="C117">
        <v>542.08001709999996</v>
      </c>
      <c r="D117">
        <v>548.53002930000002</v>
      </c>
      <c r="E117">
        <v>541.60998540000003</v>
      </c>
      <c r="F117">
        <v>547.09997559999999</v>
      </c>
      <c r="G117">
        <v>55839500</v>
      </c>
      <c r="H117">
        <f t="shared" si="22"/>
        <v>539.84000244000003</v>
      </c>
      <c r="I117">
        <f t="shared" si="28"/>
        <v>532.03599854000004</v>
      </c>
      <c r="J117" s="4">
        <f t="shared" si="14"/>
        <v>519.79193558225802</v>
      </c>
      <c r="K117">
        <f t="shared" si="20"/>
        <v>2.6584238351036208E-3</v>
      </c>
      <c r="L117">
        <f t="shared" si="23"/>
        <v>1.2588551131211098E-3</v>
      </c>
      <c r="M117" s="3">
        <f t="shared" si="16"/>
        <v>8.7484588060484519E-4</v>
      </c>
      <c r="N117" t="str">
        <f t="shared" ca="1" si="17"/>
        <v>wait</v>
      </c>
      <c r="O117">
        <f t="shared" si="24"/>
        <v>4.1494047308006099E-3</v>
      </c>
      <c r="P117">
        <f t="shared" si="25"/>
        <v>5.4461078221537118E-3</v>
      </c>
      <c r="Q117">
        <f t="shared" si="26"/>
        <v>1.8474288594472199E-5</v>
      </c>
      <c r="R117">
        <f t="shared" si="21"/>
        <v>-2.7766706586460632E-3</v>
      </c>
      <c r="S117" s="3">
        <f t="shared" si="27"/>
        <v>2.3555700116867959E-2</v>
      </c>
      <c r="T117" s="3">
        <f t="shared" si="18"/>
        <v>4.0544705852307503E-4</v>
      </c>
      <c r="V117" t="str">
        <f t="shared" si="19"/>
        <v>111</v>
      </c>
    </row>
    <row r="118" spans="1:22">
      <c r="A118" s="1">
        <v>45461</v>
      </c>
      <c r="B118" t="s">
        <v>7</v>
      </c>
      <c r="C118">
        <v>547.1599731</v>
      </c>
      <c r="D118">
        <v>548.61999509999998</v>
      </c>
      <c r="E118">
        <v>546.72998050000001</v>
      </c>
      <c r="F118">
        <v>548.48999019999997</v>
      </c>
      <c r="G118">
        <v>41376400</v>
      </c>
      <c r="H118">
        <f t="shared" si="22"/>
        <v>542.12800293999999</v>
      </c>
      <c r="I118">
        <f t="shared" si="28"/>
        <v>532.91849671000011</v>
      </c>
      <c r="J118" s="4">
        <f t="shared" si="14"/>
        <v>520.29822515645151</v>
      </c>
      <c r="K118">
        <f t="shared" si="20"/>
        <v>3.7805990015396251E-3</v>
      </c>
      <c r="L118">
        <f t="shared" si="23"/>
        <v>1.6073631359802144E-3</v>
      </c>
      <c r="M118" s="3">
        <f t="shared" si="16"/>
        <v>8.524181555912883E-4</v>
      </c>
      <c r="N118" t="str">
        <f t="shared" ca="1" si="17"/>
        <v>wait</v>
      </c>
      <c r="O118">
        <f t="shared" si="24"/>
        <v>9.2818857035816826E-3</v>
      </c>
      <c r="P118">
        <f t="shared" si="25"/>
        <v>9.1712153458900492E-3</v>
      </c>
      <c r="Q118">
        <f t="shared" si="26"/>
        <v>-9.5552625429917715E-4</v>
      </c>
      <c r="R118">
        <f t="shared" si="21"/>
        <v>-9.7400054289364935E-4</v>
      </c>
      <c r="S118" s="3">
        <f t="shared" si="27"/>
        <v>2.425584202166698E-2</v>
      </c>
      <c r="T118" s="3">
        <f t="shared" si="18"/>
        <v>7.0014190479902177E-4</v>
      </c>
      <c r="V118" t="str">
        <f t="shared" si="19"/>
        <v>111</v>
      </c>
    </row>
    <row r="119" spans="1:22">
      <c r="A119" s="1">
        <v>45463</v>
      </c>
      <c r="B119" t="s">
        <v>7</v>
      </c>
      <c r="C119">
        <v>549.44000240000003</v>
      </c>
      <c r="D119">
        <v>550.11999509999998</v>
      </c>
      <c r="E119">
        <v>545.17999269999996</v>
      </c>
      <c r="F119">
        <v>547</v>
      </c>
      <c r="G119">
        <v>70328200</v>
      </c>
      <c r="H119">
        <f t="shared" si="22"/>
        <v>544.43599854000001</v>
      </c>
      <c r="I119">
        <f t="shared" si="28"/>
        <v>533.83999633999997</v>
      </c>
      <c r="J119" s="4">
        <f t="shared" si="14"/>
        <v>520.74999950645145</v>
      </c>
      <c r="K119">
        <f t="shared" si="20"/>
        <v>2.6341085386027271E-3</v>
      </c>
      <c r="L119">
        <f t="shared" si="23"/>
        <v>1.6119020316428909E-3</v>
      </c>
      <c r="M119" s="3">
        <f t="shared" si="16"/>
        <v>8.390775368886526E-4</v>
      </c>
      <c r="N119" t="str">
        <f t="shared" ca="1" si="17"/>
        <v>wait</v>
      </c>
      <c r="O119">
        <f t="shared" si="24"/>
        <v>9.1911700795301865E-3</v>
      </c>
      <c r="P119">
        <f t="shared" si="25"/>
        <v>7.4462226430129785E-3</v>
      </c>
      <c r="Q119">
        <f t="shared" si="26"/>
        <v>4.2135016166302552E-3</v>
      </c>
      <c r="R119">
        <f t="shared" si="21"/>
        <v>5.1690278709294324E-3</v>
      </c>
      <c r="S119" s="3">
        <f t="shared" si="27"/>
        <v>2.513681583476671E-2</v>
      </c>
      <c r="T119" s="3">
        <f t="shared" si="18"/>
        <v>8.8097381309973008E-4</v>
      </c>
      <c r="V119" t="str">
        <f t="shared" si="19"/>
        <v>111</v>
      </c>
    </row>
    <row r="120" spans="1:22">
      <c r="A120" s="1">
        <v>45464</v>
      </c>
      <c r="B120" t="s">
        <v>7</v>
      </c>
      <c r="C120">
        <v>544.40002440000001</v>
      </c>
      <c r="D120">
        <v>545.65002440000001</v>
      </c>
      <c r="E120">
        <v>543.02001949999999</v>
      </c>
      <c r="F120">
        <v>544.51000980000003</v>
      </c>
      <c r="G120">
        <v>64338600</v>
      </c>
      <c r="H120">
        <f t="shared" si="22"/>
        <v>545.56400145999999</v>
      </c>
      <c r="I120">
        <f t="shared" si="28"/>
        <v>534.62199706999991</v>
      </c>
      <c r="J120" s="4">
        <f t="shared" si="14"/>
        <v>521.14999930967724</v>
      </c>
      <c r="K120">
        <f t="shared" si="20"/>
        <v>1.6775694341112798E-3</v>
      </c>
      <c r="L120">
        <f t="shared" si="23"/>
        <v>1.6203293835614619E-3</v>
      </c>
      <c r="M120" s="3">
        <f t="shared" si="16"/>
        <v>8.2468285052789527E-4</v>
      </c>
      <c r="N120" t="str">
        <f t="shared" ca="1" si="17"/>
        <v>wait</v>
      </c>
      <c r="O120">
        <f t="shared" si="24"/>
        <v>-2.1335298093074773E-3</v>
      </c>
      <c r="P120">
        <f t="shared" si="25"/>
        <v>2.632135801037272E-3</v>
      </c>
      <c r="Q120">
        <f t="shared" si="26"/>
        <v>-7.0387481390332685E-4</v>
      </c>
      <c r="R120">
        <f t="shared" si="21"/>
        <v>-4.9173764305335821E-3</v>
      </c>
      <c r="S120" s="3">
        <f t="shared" si="27"/>
        <v>2.5850518618762097E-2</v>
      </c>
      <c r="T120" s="3">
        <f t="shared" si="18"/>
        <v>7.1370278399538606E-4</v>
      </c>
      <c r="V120" t="str">
        <f t="shared" si="19"/>
        <v>111</v>
      </c>
    </row>
    <row r="121" spans="1:22">
      <c r="A121" s="1">
        <v>45467</v>
      </c>
      <c r="B121" t="s">
        <v>7</v>
      </c>
      <c r="C121">
        <v>544.33001709999996</v>
      </c>
      <c r="D121">
        <v>546.95001219999995</v>
      </c>
      <c r="E121">
        <v>542.61999509999998</v>
      </c>
      <c r="F121">
        <v>542.73999019999997</v>
      </c>
      <c r="G121">
        <v>45528700</v>
      </c>
      <c r="H121">
        <f t="shared" si="22"/>
        <v>545.97600097999998</v>
      </c>
      <c r="I121">
        <f t="shared" si="28"/>
        <v>535.35599670499994</v>
      </c>
      <c r="J121" s="4">
        <f t="shared" si="14"/>
        <v>521.52580556451596</v>
      </c>
      <c r="K121">
        <f t="shared" si="20"/>
        <v>6.3745178769052785E-4</v>
      </c>
      <c r="L121">
        <f t="shared" si="23"/>
        <v>1.7634408533050115E-3</v>
      </c>
      <c r="M121" s="3">
        <f t="shared" si="16"/>
        <v>7.9329925966741411E-4</v>
      </c>
      <c r="N121" t="str">
        <f t="shared" ca="1" si="17"/>
        <v>wait</v>
      </c>
      <c r="O121">
        <f t="shared" si="24"/>
        <v>-3.0147550021347724E-3</v>
      </c>
      <c r="P121">
        <f t="shared" si="25"/>
        <v>-2.6850835519667271E-3</v>
      </c>
      <c r="Q121">
        <f t="shared" si="26"/>
        <v>-5.4141234682369976E-3</v>
      </c>
      <c r="R121">
        <f t="shared" si="21"/>
        <v>-4.7102486543336708E-3</v>
      </c>
      <c r="S121" s="3">
        <f t="shared" si="27"/>
        <v>2.651870912794764E-2</v>
      </c>
      <c r="T121" s="3">
        <f t="shared" si="18"/>
        <v>6.6819050918554349E-4</v>
      </c>
      <c r="V121" t="str">
        <f t="shared" si="19"/>
        <v>111</v>
      </c>
    </row>
    <row r="122" spans="1:22">
      <c r="A122" s="1">
        <v>45468</v>
      </c>
      <c r="B122" t="s">
        <v>7</v>
      </c>
      <c r="C122">
        <v>543.98999019999997</v>
      </c>
      <c r="D122">
        <v>545.20001219999995</v>
      </c>
      <c r="E122">
        <v>542.44000240000003</v>
      </c>
      <c r="F122">
        <v>544.83001709999996</v>
      </c>
      <c r="G122">
        <v>37936200</v>
      </c>
      <c r="H122">
        <f t="shared" si="22"/>
        <v>545.96799315999999</v>
      </c>
      <c r="I122">
        <f t="shared" si="28"/>
        <v>536.19499511499998</v>
      </c>
      <c r="J122" s="4">
        <f t="shared" si="14"/>
        <v>521.8962889629031</v>
      </c>
      <c r="K122">
        <f t="shared" si="20"/>
        <v>-1.5938532606288157E-3</v>
      </c>
      <c r="L122">
        <f t="shared" si="23"/>
        <v>1.2560429642367291E-3</v>
      </c>
      <c r="M122" s="3">
        <f t="shared" si="16"/>
        <v>7.6874619194886517E-4</v>
      </c>
      <c r="N122" t="str">
        <f t="shared" ca="1" si="17"/>
        <v>wait</v>
      </c>
      <c r="O122">
        <f t="shared" si="24"/>
        <v>-3.6229284221435121E-3</v>
      </c>
      <c r="P122">
        <f t="shared" si="25"/>
        <v>-5.9124399240269021E-3</v>
      </c>
      <c r="Q122">
        <f t="shared" si="26"/>
        <v>-6.132224053322588E-3</v>
      </c>
      <c r="R122">
        <f t="shared" si="21"/>
        <v>-7.1810058508559038E-4</v>
      </c>
      <c r="S122" s="3">
        <f t="shared" si="27"/>
        <v>2.7397600738857237E-2</v>
      </c>
      <c r="T122" s="3">
        <f t="shared" si="18"/>
        <v>8.7889161090959692E-4</v>
      </c>
      <c r="V122" t="str">
        <f t="shared" si="19"/>
        <v>111</v>
      </c>
    </row>
    <row r="123" spans="1:22">
      <c r="A123" s="1">
        <v>45469</v>
      </c>
      <c r="B123" t="s">
        <v>7</v>
      </c>
      <c r="C123">
        <v>543.69000240000003</v>
      </c>
      <c r="D123">
        <v>546.23999019999997</v>
      </c>
      <c r="E123">
        <v>543.03002930000002</v>
      </c>
      <c r="F123">
        <v>545.51000980000003</v>
      </c>
      <c r="G123">
        <v>38550600</v>
      </c>
      <c r="H123">
        <f t="shared" si="22"/>
        <v>545.51400145999992</v>
      </c>
      <c r="I123">
        <f t="shared" si="28"/>
        <v>536.96449585000005</v>
      </c>
      <c r="J123" s="4">
        <f t="shared" si="14"/>
        <v>522.31596669677413</v>
      </c>
      <c r="K123">
        <f t="shared" si="20"/>
        <v>-1.3345633157919395E-3</v>
      </c>
      <c r="L123">
        <f t="shared" si="23"/>
        <v>1.417491135316393E-3</v>
      </c>
      <c r="M123" s="3">
        <f t="shared" si="16"/>
        <v>6.9002538715796566E-4</v>
      </c>
      <c r="N123" t="str">
        <f t="shared" ca="1" si="17"/>
        <v>wait</v>
      </c>
      <c r="O123">
        <f t="shared" si="24"/>
        <v>-3.3436338116311637E-3</v>
      </c>
      <c r="P123">
        <f t="shared" si="25"/>
        <v>-1.2538346553330193E-3</v>
      </c>
      <c r="Q123">
        <f t="shared" si="26"/>
        <v>-5.6350507077228551E-3</v>
      </c>
      <c r="R123">
        <f t="shared" si="21"/>
        <v>4.9717334559973292E-4</v>
      </c>
      <c r="S123" s="3">
        <f t="shared" si="27"/>
        <v>2.8045340535664681E-2</v>
      </c>
      <c r="T123" s="3">
        <f t="shared" si="18"/>
        <v>6.4773979680744428E-4</v>
      </c>
      <c r="V123" t="str">
        <f t="shared" si="19"/>
        <v>111</v>
      </c>
    </row>
    <row r="124" spans="1:22">
      <c r="A124" s="1">
        <v>45470</v>
      </c>
      <c r="B124" t="s">
        <v>7</v>
      </c>
      <c r="C124">
        <v>545.36999509999998</v>
      </c>
      <c r="D124">
        <v>546.96002199999998</v>
      </c>
      <c r="E124">
        <v>544.60998540000003</v>
      </c>
      <c r="F124">
        <v>546.36999509999998</v>
      </c>
      <c r="G124">
        <v>35041500</v>
      </c>
      <c r="H124">
        <f t="shared" si="22"/>
        <v>544.91800538000007</v>
      </c>
      <c r="I124">
        <f t="shared" si="28"/>
        <v>537.74949645999993</v>
      </c>
      <c r="J124" s="4">
        <f t="shared" si="14"/>
        <v>522.67628971129022</v>
      </c>
      <c r="K124">
        <f t="shared" si="20"/>
        <v>-5.4478617915903679E-4</v>
      </c>
      <c r="L124">
        <f t="shared" si="23"/>
        <v>1.8447096654835922E-3</v>
      </c>
      <c r="M124" s="3">
        <f t="shared" si="16"/>
        <v>7.1500953303974013E-4</v>
      </c>
      <c r="N124" t="str">
        <f t="shared" ca="1" si="17"/>
        <v>wait</v>
      </c>
      <c r="O124">
        <f t="shared" si="24"/>
        <v>8.294637276387018E-4</v>
      </c>
      <c r="P124">
        <f t="shared" si="25"/>
        <v>1.0864100913441366E-3</v>
      </c>
      <c r="Q124">
        <f t="shared" si="26"/>
        <v>-3.4646975533199065E-3</v>
      </c>
      <c r="R124">
        <f t="shared" si="21"/>
        <v>2.1703531544029486E-3</v>
      </c>
      <c r="S124" s="3">
        <f t="shared" si="27"/>
        <v>2.8838512565847723E-2</v>
      </c>
      <c r="T124" s="3">
        <f t="shared" si="18"/>
        <v>7.931720301830418E-4</v>
      </c>
      <c r="V124" t="str">
        <f t="shared" si="19"/>
        <v>111</v>
      </c>
    </row>
    <row r="125" spans="1:22">
      <c r="A125" s="1">
        <v>45471</v>
      </c>
      <c r="B125" t="s">
        <v>7</v>
      </c>
      <c r="C125">
        <v>547.1599731</v>
      </c>
      <c r="D125">
        <v>550.28002930000002</v>
      </c>
      <c r="E125">
        <v>542.95001219999995</v>
      </c>
      <c r="F125">
        <v>544.21997069999998</v>
      </c>
      <c r="G125">
        <v>76144500</v>
      </c>
      <c r="H125">
        <f t="shared" si="22"/>
        <v>544.7920044</v>
      </c>
      <c r="I125">
        <f t="shared" si="28"/>
        <v>538.76299743499999</v>
      </c>
      <c r="J125" s="4">
        <f t="shared" si="14"/>
        <v>523.05209596612895</v>
      </c>
      <c r="K125">
        <f t="shared" si="20"/>
        <v>6.831776336611795E-4</v>
      </c>
      <c r="L125">
        <f t="shared" si="23"/>
        <v>2.2732066324578836E-3</v>
      </c>
      <c r="M125" s="3">
        <f t="shared" si="16"/>
        <v>7.7275238902578829E-4</v>
      </c>
      <c r="N125" t="str">
        <f t="shared" ca="1" si="17"/>
        <v>wait</v>
      </c>
      <c r="O125">
        <f t="shared" si="24"/>
        <v>4.3465555310562287E-3</v>
      </c>
      <c r="P125">
        <f t="shared" si="25"/>
        <v>2.8965012101047627E-3</v>
      </c>
      <c r="Q125">
        <f t="shared" si="26"/>
        <v>-3.3410732633720741E-4</v>
      </c>
      <c r="R125">
        <f t="shared" si="21"/>
        <v>3.1305902269826991E-3</v>
      </c>
      <c r="S125" s="3">
        <f t="shared" si="27"/>
        <v>3.0036972588459769E-2</v>
      </c>
      <c r="T125" s="3">
        <f t="shared" si="18"/>
        <v>1.1984600226120461E-3</v>
      </c>
      <c r="V125" t="str">
        <f t="shared" si="19"/>
        <v>111</v>
      </c>
    </row>
    <row r="126" spans="1:22">
      <c r="A126" s="1">
        <v>45474</v>
      </c>
      <c r="B126" t="s">
        <v>7</v>
      </c>
      <c r="C126">
        <v>545.63000490000002</v>
      </c>
      <c r="D126">
        <v>545.88000490000002</v>
      </c>
      <c r="E126">
        <v>542.52001949999999</v>
      </c>
      <c r="F126">
        <v>545.3400269</v>
      </c>
      <c r="G126">
        <v>40297800</v>
      </c>
      <c r="H126">
        <f t="shared" si="22"/>
        <v>544.73399657999994</v>
      </c>
      <c r="I126">
        <f t="shared" si="28"/>
        <v>539.84349670000006</v>
      </c>
      <c r="J126" s="4">
        <f t="shared" si="14"/>
        <v>523.40790237903218</v>
      </c>
      <c r="K126">
        <f t="shared" si="20"/>
        <v>5.4537366942673121E-4</v>
      </c>
      <c r="L126">
        <f t="shared" si="23"/>
        <v>1.5975478086125189E-3</v>
      </c>
      <c r="M126" s="3">
        <f t="shared" si="16"/>
        <v>8.1527839295802984E-4</v>
      </c>
      <c r="N126" t="str">
        <f t="shared" ca="1" si="17"/>
        <v>wait</v>
      </c>
      <c r="O126">
        <f t="shared" si="24"/>
        <v>1.644854783482419E-3</v>
      </c>
      <c r="P126">
        <f t="shared" si="25"/>
        <v>-9.4362731760300189E-4</v>
      </c>
      <c r="Q126">
        <f t="shared" si="26"/>
        <v>-3.2749642783457267E-3</v>
      </c>
      <c r="R126">
        <f t="shared" si="21"/>
        <v>-2.9408569520085193E-3</v>
      </c>
      <c r="S126" s="3">
        <f t="shared" si="27"/>
        <v>3.1401119941566809E-2</v>
      </c>
      <c r="T126" s="3">
        <f t="shared" si="18"/>
        <v>1.3641473531070397E-3</v>
      </c>
      <c r="V126" t="str">
        <f t="shared" si="19"/>
        <v>111</v>
      </c>
    </row>
    <row r="127" spans="1:22">
      <c r="A127" s="1">
        <v>45475</v>
      </c>
      <c r="B127" t="s">
        <v>7</v>
      </c>
      <c r="C127">
        <v>543.70001219999995</v>
      </c>
      <c r="D127">
        <v>549.01000980000003</v>
      </c>
      <c r="E127">
        <v>543.65002440000001</v>
      </c>
      <c r="F127">
        <v>549.01000980000003</v>
      </c>
      <c r="G127">
        <v>40434800</v>
      </c>
      <c r="H127">
        <f t="shared" si="22"/>
        <v>545.25400391999995</v>
      </c>
      <c r="I127">
        <f t="shared" si="28"/>
        <v>540.74199828999997</v>
      </c>
      <c r="J127" s="4">
        <f t="shared" ref="J127:J190" si="29">AVERAGE(F65:F126)</f>
        <v>523.83532173387096</v>
      </c>
      <c r="K127">
        <f t="shared" si="20"/>
        <v>1.8721795201912507E-4</v>
      </c>
      <c r="L127">
        <f t="shared" si="23"/>
        <v>1.6616179902836994E-3</v>
      </c>
      <c r="M127" s="3">
        <f t="shared" si="16"/>
        <v>8.3203555132764018E-4</v>
      </c>
      <c r="N127" t="str">
        <f t="shared" ca="1" si="17"/>
        <v>wait</v>
      </c>
      <c r="O127">
        <f t="shared" si="24"/>
        <v>-2.8500326615262805E-3</v>
      </c>
      <c r="P127">
        <f t="shared" si="25"/>
        <v>1.5776680112677965E-4</v>
      </c>
      <c r="Q127">
        <f t="shared" si="26"/>
        <v>-5.0141482691451467E-3</v>
      </c>
      <c r="R127">
        <f t="shared" si="21"/>
        <v>-1.73918399079942E-3</v>
      </c>
      <c r="S127" s="3">
        <f t="shared" si="27"/>
        <v>3.2274792963881638E-2</v>
      </c>
      <c r="T127" s="3">
        <f t="shared" si="18"/>
        <v>8.7367302231482896E-4</v>
      </c>
      <c r="V127" t="str">
        <f t="shared" si="19"/>
        <v>111</v>
      </c>
    </row>
    <row r="128" spans="1:22">
      <c r="A128" s="1">
        <v>45476</v>
      </c>
      <c r="B128" t="s">
        <v>7</v>
      </c>
      <c r="C128">
        <v>548.69000240000003</v>
      </c>
      <c r="D128">
        <v>551.83001709999996</v>
      </c>
      <c r="E128">
        <v>548.65002440000001</v>
      </c>
      <c r="F128">
        <v>551.46002199999998</v>
      </c>
      <c r="G128">
        <v>32789900</v>
      </c>
      <c r="H128">
        <f t="shared" si="22"/>
        <v>546.09000245999994</v>
      </c>
      <c r="I128">
        <f t="shared" si="28"/>
        <v>541.80249938999998</v>
      </c>
      <c r="J128" s="4">
        <f t="shared" si="29"/>
        <v>524.3127416806451</v>
      </c>
      <c r="K128">
        <f t="shared" si="20"/>
        <v>1.2832028513219042E-3</v>
      </c>
      <c r="L128">
        <f t="shared" si="23"/>
        <v>1.9512097721613591E-3</v>
      </c>
      <c r="M128" s="3">
        <f t="shared" si="16"/>
        <v>1.1674820845967359E-3</v>
      </c>
      <c r="N128" t="str">
        <f t="shared" ca="1" si="17"/>
        <v>wait</v>
      </c>
      <c r="O128">
        <f t="shared" si="24"/>
        <v>4.7611198305914648E-3</v>
      </c>
      <c r="P128">
        <f t="shared" si="25"/>
        <v>5.3471173741437283E-3</v>
      </c>
      <c r="Q128">
        <f t="shared" si="26"/>
        <v>-4.468087767599549E-3</v>
      </c>
      <c r="R128">
        <f t="shared" si="21"/>
        <v>5.4606050154559771E-4</v>
      </c>
      <c r="S128" s="3">
        <f t="shared" si="27"/>
        <v>3.3357491281430188E-2</v>
      </c>
      <c r="T128" s="3">
        <f t="shared" si="18"/>
        <v>1.0826983175485499E-3</v>
      </c>
      <c r="V128" t="str">
        <f t="shared" si="19"/>
        <v>111</v>
      </c>
    </row>
    <row r="129" spans="1:22">
      <c r="A129" s="1">
        <v>45478</v>
      </c>
      <c r="B129" t="s">
        <v>7</v>
      </c>
      <c r="C129">
        <v>551.77001949999999</v>
      </c>
      <c r="D129">
        <v>555.04998780000005</v>
      </c>
      <c r="E129">
        <v>551.11999509999998</v>
      </c>
      <c r="F129">
        <v>554.64001459999997</v>
      </c>
      <c r="G129">
        <v>41488400</v>
      </c>
      <c r="H129">
        <f t="shared" si="22"/>
        <v>547.28000489999999</v>
      </c>
      <c r="I129">
        <f t="shared" si="28"/>
        <v>542.95599975999994</v>
      </c>
      <c r="J129" s="4">
        <f t="shared" si="29"/>
        <v>524.93193546612906</v>
      </c>
      <c r="K129">
        <f t="shared" si="20"/>
        <v>1.8632161156903904E-3</v>
      </c>
      <c r="L129">
        <f t="shared" si="23"/>
        <v>1.5701310749607021E-3</v>
      </c>
      <c r="M129" s="3">
        <f t="shared" ref="M129:M192" si="30">(F128-F67)/F67/60</f>
        <v>1.0618608029722772E-3</v>
      </c>
      <c r="N129" t="str">
        <f t="shared" ref="N129:N192" ca="1" si="31">IF(AND((F128-H129) / H129&lt;= -0.0155, G128/ AVERAGE(OFFSET(G128,-19,0,20,1)) &gt;= 1.58), "buy", "wait")</f>
        <v>wait</v>
      </c>
      <c r="O129">
        <f t="shared" si="24"/>
        <v>8.2042365147625418E-3</v>
      </c>
      <c r="P129">
        <f t="shared" si="25"/>
        <v>7.6378034325661481E-3</v>
      </c>
      <c r="Q129">
        <f t="shared" si="26"/>
        <v>2.5033246011798571E-3</v>
      </c>
      <c r="R129">
        <f t="shared" si="21"/>
        <v>6.9714123687794061E-3</v>
      </c>
      <c r="S129" s="3">
        <f t="shared" si="27"/>
        <v>3.4336002586441747E-2</v>
      </c>
      <c r="T129" s="3">
        <f t="shared" si="18"/>
        <v>9.7851130501155903E-4</v>
      </c>
      <c r="V129" t="str">
        <f t="shared" si="19"/>
        <v>111</v>
      </c>
    </row>
    <row r="130" spans="1:22">
      <c r="A130" s="1">
        <v>45481</v>
      </c>
      <c r="B130" t="s">
        <v>7</v>
      </c>
      <c r="C130">
        <v>555.44000240000003</v>
      </c>
      <c r="D130">
        <v>556.25</v>
      </c>
      <c r="E130">
        <v>554.19000240000003</v>
      </c>
      <c r="F130">
        <v>555.28002930000002</v>
      </c>
      <c r="G130">
        <v>36110500</v>
      </c>
      <c r="H130">
        <f t="shared" si="22"/>
        <v>548.93400880000002</v>
      </c>
      <c r="I130">
        <f t="shared" si="28"/>
        <v>543.95450134499993</v>
      </c>
      <c r="J130" s="4">
        <f t="shared" si="29"/>
        <v>525.5159680774193</v>
      </c>
      <c r="K130">
        <f t="shared" si="20"/>
        <v>3.8293500646796445E-3</v>
      </c>
      <c r="L130">
        <f t="shared" si="23"/>
        <v>1.868481138035651E-3</v>
      </c>
      <c r="M130" s="3">
        <f t="shared" si="30"/>
        <v>1.1541244450747601E-3</v>
      </c>
      <c r="N130" t="str">
        <f t="shared" ca="1" si="31"/>
        <v>wait</v>
      </c>
      <c r="O130">
        <f t="shared" si="24"/>
        <v>1.1852050511904855E-2</v>
      </c>
      <c r="P130">
        <f t="shared" si="25"/>
        <v>1.0394702657380517E-2</v>
      </c>
      <c r="Q130">
        <f t="shared" si="26"/>
        <v>3.9822387845465101E-3</v>
      </c>
      <c r="R130">
        <f t="shared" si="21"/>
        <v>1.478914183366653E-3</v>
      </c>
      <c r="S130" s="3">
        <f t="shared" si="27"/>
        <v>3.5086532831794463E-2</v>
      </c>
      <c r="T130" s="3">
        <f t="shared" ref="T130:T193" si="32">S130-S129</f>
        <v>7.5053024535271656E-4</v>
      </c>
      <c r="V130" t="str">
        <f t="shared" ref="V130:V193" si="33">SIGN(M130)&amp;SIGN(S130)&amp;SIGN(T130)</f>
        <v>111</v>
      </c>
    </row>
    <row r="131" spans="1:22">
      <c r="A131" s="1">
        <v>45482</v>
      </c>
      <c r="B131" t="s">
        <v>7</v>
      </c>
      <c r="C131">
        <v>556.26000980000003</v>
      </c>
      <c r="D131">
        <v>557.17999269999996</v>
      </c>
      <c r="E131">
        <v>555.52001949999999</v>
      </c>
      <c r="F131">
        <v>555.82000730000004</v>
      </c>
      <c r="G131">
        <v>27289700</v>
      </c>
      <c r="H131">
        <f t="shared" si="22"/>
        <v>551.14602051999998</v>
      </c>
      <c r="I131">
        <f t="shared" si="28"/>
        <v>544.98550415499994</v>
      </c>
      <c r="J131" s="4">
        <f t="shared" si="29"/>
        <v>526.10564644193551</v>
      </c>
      <c r="K131">
        <f t="shared" si="20"/>
        <v>3.6454329077967142E-3</v>
      </c>
      <c r="L131">
        <f t="shared" si="23"/>
        <v>1.9915375282914772E-3</v>
      </c>
      <c r="M131" s="3">
        <f t="shared" si="30"/>
        <v>1.1540739651376025E-3</v>
      </c>
      <c r="N131" t="str">
        <f t="shared" ca="1" si="31"/>
        <v>wait</v>
      </c>
      <c r="O131">
        <f t="shared" si="24"/>
        <v>9.2788282770781549E-3</v>
      </c>
      <c r="P131">
        <f t="shared" si="25"/>
        <v>7.5007504836914762E-3</v>
      </c>
      <c r="Q131">
        <f t="shared" si="26"/>
        <v>5.5230043702902964E-3</v>
      </c>
      <c r="R131">
        <f t="shared" si="21"/>
        <v>1.5407655857437863E-3</v>
      </c>
      <c r="S131" s="3">
        <f t="shared" si="27"/>
        <v>3.5886057944348911E-2</v>
      </c>
      <c r="T131" s="3">
        <f t="shared" si="32"/>
        <v>7.9952511255444725E-4</v>
      </c>
      <c r="V131" t="str">
        <f t="shared" si="33"/>
        <v>111</v>
      </c>
    </row>
    <row r="132" spans="1:22">
      <c r="A132" s="1">
        <v>45483</v>
      </c>
      <c r="B132" t="s">
        <v>7</v>
      </c>
      <c r="C132">
        <v>557.07000730000004</v>
      </c>
      <c r="D132">
        <v>561.66998290000004</v>
      </c>
      <c r="E132">
        <v>556.77001949999999</v>
      </c>
      <c r="F132">
        <v>561.32000730000004</v>
      </c>
      <c r="G132">
        <v>38701200</v>
      </c>
      <c r="H132">
        <f t="shared" si="22"/>
        <v>553.24201659999994</v>
      </c>
      <c r="I132">
        <f t="shared" si="28"/>
        <v>546.07600402999992</v>
      </c>
      <c r="J132" s="4">
        <f t="shared" si="29"/>
        <v>526.69435611935489</v>
      </c>
      <c r="K132">
        <f t="shared" si="20"/>
        <v>2.48082817378169E-3</v>
      </c>
      <c r="L132">
        <f t="shared" si="23"/>
        <v>1.8817939749472799E-3</v>
      </c>
      <c r="M132" s="3">
        <f t="shared" si="30"/>
        <v>1.351824885157699E-3</v>
      </c>
      <c r="N132" t="str">
        <f t="shared" ca="1" si="31"/>
        <v>wait</v>
      </c>
      <c r="O132">
        <f t="shared" si="24"/>
        <v>6.9191973587352518E-3</v>
      </c>
      <c r="P132">
        <f t="shared" si="25"/>
        <v>4.6597883433427967E-3</v>
      </c>
      <c r="Q132">
        <f t="shared" si="26"/>
        <v>4.1175522314804702E-3</v>
      </c>
      <c r="R132">
        <f t="shared" si="21"/>
        <v>-1.4054521388098262E-3</v>
      </c>
      <c r="S132" s="3">
        <f t="shared" si="27"/>
        <v>3.6798662612311968E-2</v>
      </c>
      <c r="T132" s="3">
        <f t="shared" si="32"/>
        <v>9.1260466796305728E-4</v>
      </c>
      <c r="V132" t="str">
        <f t="shared" si="33"/>
        <v>111</v>
      </c>
    </row>
    <row r="133" spans="1:22">
      <c r="A133" s="1">
        <v>45484</v>
      </c>
      <c r="B133" t="s">
        <v>7</v>
      </c>
      <c r="C133">
        <v>561.44000240000003</v>
      </c>
      <c r="D133">
        <v>562.33001709999996</v>
      </c>
      <c r="E133">
        <v>555.83001709999996</v>
      </c>
      <c r="F133">
        <v>556.47998050000001</v>
      </c>
      <c r="G133">
        <v>53054200</v>
      </c>
      <c r="H133">
        <f t="shared" si="22"/>
        <v>555.70401609999988</v>
      </c>
      <c r="I133">
        <f t="shared" si="28"/>
        <v>547.35900574000004</v>
      </c>
      <c r="J133" s="4">
        <f t="shared" si="29"/>
        <v>527.45564663870971</v>
      </c>
      <c r="K133">
        <f t="shared" si="20"/>
        <v>3.5759565178416731E-3</v>
      </c>
      <c r="L133">
        <f t="shared" si="23"/>
        <v>2.269298309553153E-3</v>
      </c>
      <c r="M133" s="3">
        <f t="shared" si="30"/>
        <v>1.39382262870013E-3</v>
      </c>
      <c r="N133" t="str">
        <f t="shared" ca="1" si="31"/>
        <v>wait</v>
      </c>
      <c r="O133">
        <f t="shared" si="24"/>
        <v>1.0322016997926342E-2</v>
      </c>
      <c r="P133">
        <f t="shared" si="25"/>
        <v>1.0106083521609133E-2</v>
      </c>
      <c r="Q133">
        <f t="shared" si="26"/>
        <v>1.9182934963857257E-3</v>
      </c>
      <c r="R133">
        <f t="shared" si="21"/>
        <v>-2.1992587350947446E-3</v>
      </c>
      <c r="S133" s="3">
        <f t="shared" si="27"/>
        <v>3.7734659261167224E-2</v>
      </c>
      <c r="T133" s="3">
        <f t="shared" si="32"/>
        <v>9.3599664885525569E-4</v>
      </c>
      <c r="V133" t="str">
        <f t="shared" si="33"/>
        <v>111</v>
      </c>
    </row>
    <row r="134" spans="1:22">
      <c r="A134" s="1">
        <v>45485</v>
      </c>
      <c r="B134" t="s">
        <v>7</v>
      </c>
      <c r="C134">
        <v>557.63000490000002</v>
      </c>
      <c r="D134">
        <v>563.66998290000004</v>
      </c>
      <c r="E134">
        <v>557.15002440000001</v>
      </c>
      <c r="F134">
        <v>559.98999019999997</v>
      </c>
      <c r="G134">
        <v>53084400</v>
      </c>
      <c r="H134">
        <f t="shared" si="22"/>
        <v>556.70800780000013</v>
      </c>
      <c r="I134">
        <f t="shared" si="28"/>
        <v>548.33550415500008</v>
      </c>
      <c r="J134" s="4">
        <f t="shared" si="29"/>
        <v>528.07629148548392</v>
      </c>
      <c r="K134">
        <f t="shared" si="20"/>
        <v>6.6348112345518406E-4</v>
      </c>
      <c r="L134">
        <f t="shared" si="23"/>
        <v>1.3964825169732597E-3</v>
      </c>
      <c r="M134" s="3">
        <f t="shared" si="30"/>
        <v>1.4886944587497266E-3</v>
      </c>
      <c r="N134" t="str">
        <f t="shared" ca="1" si="31"/>
        <v>wait</v>
      </c>
      <c r="O134">
        <f t="shared" si="24"/>
        <v>1.6561592200612374E-3</v>
      </c>
      <c r="P134">
        <f t="shared" si="25"/>
        <v>-4.0959946112728574E-4</v>
      </c>
      <c r="Q134">
        <f t="shared" si="26"/>
        <v>-1.5771116773940497E-3</v>
      </c>
      <c r="R134">
        <f t="shared" si="21"/>
        <v>-3.4954051737797753E-3</v>
      </c>
      <c r="S134" s="3">
        <f t="shared" si="27"/>
        <v>3.8364177669341658E-2</v>
      </c>
      <c r="T134" s="3">
        <f t="shared" si="32"/>
        <v>6.2951840817443427E-4</v>
      </c>
      <c r="V134" t="str">
        <f t="shared" si="33"/>
        <v>111</v>
      </c>
    </row>
    <row r="135" spans="1:22">
      <c r="A135" s="1">
        <v>45488</v>
      </c>
      <c r="B135" t="s">
        <v>7</v>
      </c>
      <c r="C135">
        <v>562.03002930000002</v>
      </c>
      <c r="D135">
        <v>564.8400269</v>
      </c>
      <c r="E135">
        <v>559.63000490000002</v>
      </c>
      <c r="F135">
        <v>561.53002930000002</v>
      </c>
      <c r="G135">
        <v>40584300</v>
      </c>
      <c r="H135">
        <f t="shared" si="22"/>
        <v>557.77800291999995</v>
      </c>
      <c r="I135">
        <f t="shared" si="28"/>
        <v>549.26700439500007</v>
      </c>
      <c r="J135" s="4">
        <f t="shared" si="29"/>
        <v>528.86887187419359</v>
      </c>
      <c r="K135">
        <f t="shared" si="20"/>
        <v>1.6964272624525815E-3</v>
      </c>
      <c r="L135">
        <f t="shared" si="23"/>
        <v>1.6167368057439617E-3</v>
      </c>
      <c r="M135" s="3">
        <f t="shared" si="30"/>
        <v>1.835001045917309E-3</v>
      </c>
      <c r="N135" t="str">
        <f t="shared" ca="1" si="31"/>
        <v>wait</v>
      </c>
      <c r="O135">
        <f t="shared" si="24"/>
        <v>7.6231517875220423E-3</v>
      </c>
      <c r="P135">
        <f t="shared" si="25"/>
        <v>3.9657126462859793E-3</v>
      </c>
      <c r="Q135">
        <f t="shared" si="26"/>
        <v>-1.125857449939649E-3</v>
      </c>
      <c r="R135">
        <f t="shared" si="21"/>
        <v>4.5125422745440069E-4</v>
      </c>
      <c r="S135" s="3">
        <f t="shared" si="27"/>
        <v>3.8569357369285212E-2</v>
      </c>
      <c r="T135" s="3">
        <f t="shared" si="32"/>
        <v>2.0517969994355428E-4</v>
      </c>
      <c r="V135" t="str">
        <f t="shared" si="33"/>
        <v>111</v>
      </c>
    </row>
    <row r="136" spans="1:22">
      <c r="A136" s="1">
        <v>45489</v>
      </c>
      <c r="B136" t="s">
        <v>7</v>
      </c>
      <c r="C136">
        <v>562.86999509999998</v>
      </c>
      <c r="D136">
        <v>565.1599731</v>
      </c>
      <c r="E136">
        <v>562.09997559999999</v>
      </c>
      <c r="F136">
        <v>564.85998540000003</v>
      </c>
      <c r="G136">
        <v>36475300</v>
      </c>
      <c r="H136">
        <f t="shared" si="22"/>
        <v>559.02800292000006</v>
      </c>
      <c r="I136">
        <f t="shared" si="28"/>
        <v>550.22100525000008</v>
      </c>
      <c r="J136" s="4">
        <f t="shared" si="29"/>
        <v>529.78951731129041</v>
      </c>
      <c r="K136">
        <f t="shared" ref="K136:K199" si="34">(F135-F131)/F131/5</f>
        <v>2.0546298891749087E-3</v>
      </c>
      <c r="L136">
        <f t="shared" si="23"/>
        <v>1.7272190379020638E-3</v>
      </c>
      <c r="M136" s="3">
        <f t="shared" si="30"/>
        <v>1.9197807028453865E-3</v>
      </c>
      <c r="N136" t="str">
        <f t="shared" ca="1" si="31"/>
        <v>wait</v>
      </c>
      <c r="O136">
        <f t="shared" si="24"/>
        <v>6.8726292062863958E-3</v>
      </c>
      <c r="P136">
        <f t="shared" si="25"/>
        <v>4.4756727157333476E-3</v>
      </c>
      <c r="Q136">
        <f t="shared" si="26"/>
        <v>1.0768726733820788E-3</v>
      </c>
      <c r="R136">
        <f t="shared" si="21"/>
        <v>2.2027301233217278E-3</v>
      </c>
      <c r="S136" s="3">
        <f t="shared" si="27"/>
        <v>3.856529295332331E-2</v>
      </c>
      <c r="T136" s="3">
        <f t="shared" si="32"/>
        <v>-4.0644159619018794E-6</v>
      </c>
      <c r="V136" t="str">
        <f t="shared" si="33"/>
        <v>11-1</v>
      </c>
    </row>
    <row r="137" spans="1:22">
      <c r="A137" s="1">
        <v>45490</v>
      </c>
      <c r="B137" t="s">
        <v>7</v>
      </c>
      <c r="C137">
        <v>558.79998780000005</v>
      </c>
      <c r="D137">
        <v>560.51000980000003</v>
      </c>
      <c r="E137">
        <v>556.60998540000003</v>
      </c>
      <c r="F137">
        <v>556.94000240000003</v>
      </c>
      <c r="G137">
        <v>57119000</v>
      </c>
      <c r="H137">
        <f t="shared" si="22"/>
        <v>560.83599853999999</v>
      </c>
      <c r="I137">
        <f t="shared" si="28"/>
        <v>551.32500305500002</v>
      </c>
      <c r="J137" s="4">
        <f t="shared" si="29"/>
        <v>530.77871064354838</v>
      </c>
      <c r="K137">
        <f t="shared" si="34"/>
        <v>1.2613048008132115E-3</v>
      </c>
      <c r="L137">
        <f t="shared" si="23"/>
        <v>1.623104605380651E-3</v>
      </c>
      <c r="M137" s="3">
        <f t="shared" si="30"/>
        <v>2.1413111965984028E-3</v>
      </c>
      <c r="N137" t="str">
        <f t="shared" ca="1" si="31"/>
        <v>wait</v>
      </c>
      <c r="O137">
        <f t="shared" si="24"/>
        <v>-3.6303139336636425E-3</v>
      </c>
      <c r="P137">
        <f t="shared" si="25"/>
        <v>7.1749796205584637E-3</v>
      </c>
      <c r="Q137">
        <f t="shared" si="26"/>
        <v>2.253737390770949E-3</v>
      </c>
      <c r="R137">
        <f t="shared" ref="R137:R200" si="35">Q137-Q136</f>
        <v>1.1768647173888702E-3</v>
      </c>
      <c r="S137" s="3">
        <f t="shared" si="27"/>
        <v>3.8709714612592643E-2</v>
      </c>
      <c r="T137" s="3">
        <f t="shared" si="32"/>
        <v>1.4442165926933231E-4</v>
      </c>
      <c r="V137" t="str">
        <f t="shared" si="33"/>
        <v>111</v>
      </c>
    </row>
    <row r="138" spans="1:22">
      <c r="A138" s="1">
        <v>45491</v>
      </c>
      <c r="B138" t="s">
        <v>7</v>
      </c>
      <c r="C138">
        <v>558.51000980000003</v>
      </c>
      <c r="D138">
        <v>559.52001949999999</v>
      </c>
      <c r="E138">
        <v>550.42999269999996</v>
      </c>
      <c r="F138">
        <v>552.6599731</v>
      </c>
      <c r="G138">
        <v>56270400</v>
      </c>
      <c r="H138">
        <f t="shared" si="22"/>
        <v>559.95999756000003</v>
      </c>
      <c r="I138">
        <f t="shared" si="28"/>
        <v>551.81700439500014</v>
      </c>
      <c r="J138" s="4">
        <f t="shared" si="29"/>
        <v>531.68822700806447</v>
      </c>
      <c r="K138">
        <f t="shared" si="34"/>
        <v>1.6533277606381572E-4</v>
      </c>
      <c r="L138">
        <f t="shared" si="23"/>
        <v>7.7029775848041181E-4</v>
      </c>
      <c r="M138" s="3">
        <f t="shared" si="30"/>
        <v>1.9158396949222657E-3</v>
      </c>
      <c r="N138" t="str">
        <f t="shared" ca="1" si="31"/>
        <v>wait</v>
      </c>
      <c r="O138">
        <f t="shared" si="24"/>
        <v>-2.5894488290560957E-3</v>
      </c>
      <c r="P138">
        <f t="shared" si="25"/>
        <v>-5.3932337544815301E-3</v>
      </c>
      <c r="Q138">
        <f t="shared" si="26"/>
        <v>-5.9825919254902216E-3</v>
      </c>
      <c r="R138">
        <f t="shared" si="35"/>
        <v>-8.2363293162611706E-3</v>
      </c>
      <c r="S138" s="3">
        <f t="shared" si="27"/>
        <v>3.785823413883934E-2</v>
      </c>
      <c r="T138" s="3">
        <f t="shared" si="32"/>
        <v>-8.5148047375330216E-4</v>
      </c>
      <c r="V138" t="str">
        <f t="shared" si="33"/>
        <v>11-1</v>
      </c>
    </row>
    <row r="139" spans="1:22">
      <c r="A139" s="1">
        <v>45492</v>
      </c>
      <c r="B139" t="s">
        <v>7</v>
      </c>
      <c r="C139">
        <v>552.41998290000004</v>
      </c>
      <c r="D139">
        <v>554.08001709999996</v>
      </c>
      <c r="E139">
        <v>547.9099731</v>
      </c>
      <c r="F139">
        <v>548.98999019999997</v>
      </c>
      <c r="G139">
        <v>65509100</v>
      </c>
      <c r="H139">
        <f t="shared" si="22"/>
        <v>559.1959960800001</v>
      </c>
      <c r="I139">
        <f t="shared" si="28"/>
        <v>552.02550354000005</v>
      </c>
      <c r="J139" s="4">
        <f t="shared" si="29"/>
        <v>532.54532352580645</v>
      </c>
      <c r="K139">
        <f t="shared" si="34"/>
        <v>-2.6179100442070597E-3</v>
      </c>
      <c r="L139">
        <f t="shared" si="23"/>
        <v>5.1736500000000021E-4</v>
      </c>
      <c r="M139" s="3">
        <f t="shared" si="30"/>
        <v>1.9354003073195577E-3</v>
      </c>
      <c r="N139" t="str">
        <f t="shared" ca="1" si="31"/>
        <v>wait</v>
      </c>
      <c r="O139">
        <f t="shared" si="24"/>
        <v>-1.2117420774648502E-2</v>
      </c>
      <c r="P139">
        <f t="shared" si="25"/>
        <v>-1.1688250677433398E-2</v>
      </c>
      <c r="Q139">
        <f t="shared" si="26"/>
        <v>-1.5676083951692066E-2</v>
      </c>
      <c r="R139">
        <f t="shared" si="35"/>
        <v>-9.6934920262018442E-3</v>
      </c>
      <c r="S139" s="3">
        <f t="shared" si="27"/>
        <v>3.6579384239489261E-2</v>
      </c>
      <c r="T139" s="3">
        <f t="shared" si="32"/>
        <v>-1.2788498993500791E-3</v>
      </c>
      <c r="V139" t="str">
        <f t="shared" si="33"/>
        <v>11-1</v>
      </c>
    </row>
    <row r="140" spans="1:22">
      <c r="A140" s="1">
        <v>45495</v>
      </c>
      <c r="B140" t="s">
        <v>7</v>
      </c>
      <c r="C140">
        <v>553</v>
      </c>
      <c r="D140">
        <v>555.27001949999999</v>
      </c>
      <c r="E140">
        <v>551.02001949999999</v>
      </c>
      <c r="F140">
        <v>554.65002440000001</v>
      </c>
      <c r="G140">
        <v>43346700</v>
      </c>
      <c r="H140">
        <f t="shared" si="22"/>
        <v>556.99599608000005</v>
      </c>
      <c r="I140">
        <f t="shared" si="28"/>
        <v>552.12500305000003</v>
      </c>
      <c r="J140" s="4">
        <f t="shared" si="29"/>
        <v>533.41354911451606</v>
      </c>
      <c r="K140">
        <f t="shared" si="34"/>
        <v>-4.4663823644952331E-3</v>
      </c>
      <c r="L140">
        <f t="shared" si="23"/>
        <v>4.1137723084699949E-4</v>
      </c>
      <c r="M140" s="3">
        <f t="shared" si="30"/>
        <v>1.6432531845061809E-3</v>
      </c>
      <c r="N140" t="str">
        <f t="shared" ca="1" si="31"/>
        <v>wait</v>
      </c>
      <c r="O140">
        <f t="shared" si="24"/>
        <v>-7.1741917502511354E-3</v>
      </c>
      <c r="P140">
        <f t="shared" si="25"/>
        <v>-1.4373542963224795E-2</v>
      </c>
      <c r="Q140">
        <f t="shared" si="26"/>
        <v>-1.6312546309031339E-2</v>
      </c>
      <c r="R140">
        <f t="shared" si="35"/>
        <v>-6.3646235733927359E-4</v>
      </c>
      <c r="S140" s="3">
        <f t="shared" si="27"/>
        <v>3.5078700131531339E-2</v>
      </c>
      <c r="T140" s="3">
        <f t="shared" si="32"/>
        <v>-1.5006841079579225E-3</v>
      </c>
      <c r="V140" t="str">
        <f t="shared" si="33"/>
        <v>11-1</v>
      </c>
    </row>
    <row r="141" spans="1:22">
      <c r="A141" s="1">
        <v>45496</v>
      </c>
      <c r="B141" t="s">
        <v>7</v>
      </c>
      <c r="C141">
        <v>554.53997800000002</v>
      </c>
      <c r="D141">
        <v>556.73999019999997</v>
      </c>
      <c r="E141">
        <v>553.28002930000002</v>
      </c>
      <c r="F141">
        <v>553.78002930000002</v>
      </c>
      <c r="G141">
        <v>34439600</v>
      </c>
      <c r="H141">
        <f t="shared" si="22"/>
        <v>555.6199951000001</v>
      </c>
      <c r="I141">
        <f t="shared" si="28"/>
        <v>552.63200377999999</v>
      </c>
      <c r="J141" s="4">
        <f t="shared" si="29"/>
        <v>534.29951723064505</v>
      </c>
      <c r="K141">
        <f t="shared" si="34"/>
        <v>-3.6150413425974715E-3</v>
      </c>
      <c r="L141">
        <f t="shared" si="23"/>
        <v>1.0972136211679544E-3</v>
      </c>
      <c r="M141" s="3">
        <f t="shared" si="30"/>
        <v>1.6150839213922902E-3</v>
      </c>
      <c r="N141" t="str">
        <f t="shared" ca="1" si="31"/>
        <v>wait</v>
      </c>
      <c r="O141">
        <f t="shared" si="24"/>
        <v>-1.9438053157279089E-3</v>
      </c>
      <c r="P141">
        <f t="shared" si="25"/>
        <v>-1.7457447690044647E-3</v>
      </c>
      <c r="Q141">
        <f t="shared" si="26"/>
        <v>-8.2789957895093025E-3</v>
      </c>
      <c r="R141">
        <f t="shared" si="35"/>
        <v>8.0335505195220369E-3</v>
      </c>
      <c r="S141" s="3">
        <f t="shared" si="27"/>
        <v>3.4311254190112279E-2</v>
      </c>
      <c r="T141" s="3">
        <f t="shared" si="32"/>
        <v>-7.6744594141905931E-4</v>
      </c>
      <c r="V141" t="str">
        <f t="shared" si="33"/>
        <v>11-1</v>
      </c>
    </row>
    <row r="142" spans="1:22">
      <c r="A142" s="1">
        <v>45497</v>
      </c>
      <c r="B142" t="s">
        <v>7</v>
      </c>
      <c r="C142">
        <v>548.85998540000003</v>
      </c>
      <c r="D142">
        <v>549.16998290000004</v>
      </c>
      <c r="E142">
        <v>540.28997800000002</v>
      </c>
      <c r="F142">
        <v>541.22998050000001</v>
      </c>
      <c r="G142">
        <v>74515300</v>
      </c>
      <c r="H142">
        <f t="shared" si="22"/>
        <v>553.40400388</v>
      </c>
      <c r="I142">
        <f t="shared" si="28"/>
        <v>553.18400573500003</v>
      </c>
      <c r="J142" s="4">
        <f t="shared" si="29"/>
        <v>535.0758081241936</v>
      </c>
      <c r="K142">
        <f t="shared" si="34"/>
        <v>-1.1347624829902152E-3</v>
      </c>
      <c r="L142">
        <f t="shared" si="23"/>
        <v>8.2135821440592022E-4</v>
      </c>
      <c r="M142" s="3">
        <f t="shared" si="30"/>
        <v>1.5950754584031863E-3</v>
      </c>
      <c r="N142" t="str">
        <f t="shared" ca="1" si="31"/>
        <v>wait</v>
      </c>
      <c r="O142">
        <f t="shared" si="24"/>
        <v>-8.2110328948492572E-3</v>
      </c>
      <c r="P142">
        <f t="shared" si="25"/>
        <v>6.7947723067351973E-4</v>
      </c>
      <c r="Q142">
        <f t="shared" si="26"/>
        <v>-2.2402183419489852E-4</v>
      </c>
      <c r="R142">
        <f t="shared" si="35"/>
        <v>8.054973955314404E-3</v>
      </c>
      <c r="S142" s="3">
        <f t="shared" si="27"/>
        <v>3.3842302970653888E-2</v>
      </c>
      <c r="T142" s="3">
        <f t="shared" si="32"/>
        <v>-4.6895121945839113E-4</v>
      </c>
      <c r="V142" t="str">
        <f t="shared" si="33"/>
        <v>11-1</v>
      </c>
    </row>
    <row r="143" spans="1:22">
      <c r="A143" s="1">
        <v>45498</v>
      </c>
      <c r="B143" t="s">
        <v>7</v>
      </c>
      <c r="C143">
        <v>541.34997559999999</v>
      </c>
      <c r="D143">
        <v>547.46002199999998</v>
      </c>
      <c r="E143">
        <v>537.45001219999995</v>
      </c>
      <c r="F143">
        <v>538.4099731</v>
      </c>
      <c r="G143">
        <v>61158300</v>
      </c>
      <c r="H143">
        <f t="shared" si="22"/>
        <v>550.26199949999989</v>
      </c>
      <c r="I143">
        <f t="shared" si="28"/>
        <v>553.0040039050001</v>
      </c>
      <c r="J143" s="4">
        <f t="shared" si="29"/>
        <v>535.65354968548388</v>
      </c>
      <c r="K143">
        <f t="shared" si="34"/>
        <v>-4.1363562249266831E-3</v>
      </c>
      <c r="L143">
        <f t="shared" si="23"/>
        <v>-3.9229612867866602E-4</v>
      </c>
      <c r="M143" s="3">
        <f t="shared" si="30"/>
        <v>1.2492797286465958E-3</v>
      </c>
      <c r="N143" t="str">
        <f t="shared" ca="1" si="31"/>
        <v>buy</v>
      </c>
      <c r="O143">
        <f t="shared" si="24"/>
        <v>-1.6195964664283302E-2</v>
      </c>
      <c r="P143">
        <f t="shared" si="25"/>
        <v>-1.6414033693416763E-2</v>
      </c>
      <c r="Q143">
        <f t="shared" si="26"/>
        <v>-1.8122315386236099E-2</v>
      </c>
      <c r="R143">
        <f t="shared" si="35"/>
        <v>-1.78982935520412E-2</v>
      </c>
      <c r="S143" s="3">
        <f t="shared" si="27"/>
        <v>3.2391186858938534E-2</v>
      </c>
      <c r="T143" s="3">
        <f t="shared" si="32"/>
        <v>-1.4511161117153545E-3</v>
      </c>
      <c r="V143" t="str">
        <f t="shared" si="33"/>
        <v>11-1</v>
      </c>
    </row>
    <row r="144" spans="1:22">
      <c r="A144" s="1">
        <v>45499</v>
      </c>
      <c r="B144" t="s">
        <v>7</v>
      </c>
      <c r="C144">
        <v>542.28002930000002</v>
      </c>
      <c r="D144">
        <v>547.19000240000003</v>
      </c>
      <c r="E144">
        <v>541.48999019999997</v>
      </c>
      <c r="F144">
        <v>544.44000240000003</v>
      </c>
      <c r="G144">
        <v>53763800</v>
      </c>
      <c r="H144">
        <f t="shared" ref="H144:H207" si="36">AVERAGE(F139:F143)</f>
        <v>547.41199949999998</v>
      </c>
      <c r="I144">
        <f t="shared" si="28"/>
        <v>552.64900207000005</v>
      </c>
      <c r="J144" s="4">
        <f t="shared" si="29"/>
        <v>536.21677521612901</v>
      </c>
      <c r="K144">
        <f t="shared" si="34"/>
        <v>-3.8543570151964362E-3</v>
      </c>
      <c r="L144">
        <f t="shared" si="23"/>
        <v>-7.2844611448173399E-4</v>
      </c>
      <c r="M144" s="3">
        <f t="shared" si="30"/>
        <v>9.8866599505057851E-4</v>
      </c>
      <c r="N144" t="str">
        <f t="shared" ca="1" si="31"/>
        <v>wait</v>
      </c>
      <c r="O144">
        <f t="shared" si="24"/>
        <v>-9.3749684053098248E-3</v>
      </c>
      <c r="P144">
        <f t="shared" si="25"/>
        <v>-1.6444700533094547E-2</v>
      </c>
      <c r="Q144">
        <f t="shared" si="26"/>
        <v>-1.8198335639516894E-2</v>
      </c>
      <c r="R144">
        <f t="shared" si="35"/>
        <v>-7.6020253280795202E-5</v>
      </c>
      <c r="S144" s="3">
        <f t="shared" si="27"/>
        <v>3.064474595605075E-2</v>
      </c>
      <c r="T144" s="3">
        <f t="shared" si="32"/>
        <v>-1.7464409028877838E-3</v>
      </c>
      <c r="V144" t="str">
        <f t="shared" si="33"/>
        <v>11-1</v>
      </c>
    </row>
    <row r="145" spans="1:22">
      <c r="A145" s="1">
        <v>45502</v>
      </c>
      <c r="B145" t="s">
        <v>7</v>
      </c>
      <c r="C145">
        <v>546.02001949999999</v>
      </c>
      <c r="D145">
        <v>547.04998780000005</v>
      </c>
      <c r="E145">
        <v>542.71997069999998</v>
      </c>
      <c r="F145">
        <v>544.76000980000003</v>
      </c>
      <c r="G145">
        <v>39515800</v>
      </c>
      <c r="H145">
        <f t="shared" si="36"/>
        <v>546.50200194000001</v>
      </c>
      <c r="I145">
        <f t="shared" si="28"/>
        <v>552.55250243500006</v>
      </c>
      <c r="J145" s="4">
        <f t="shared" si="29"/>
        <v>536.80032348387101</v>
      </c>
      <c r="K145">
        <f t="shared" si="34"/>
        <v>-3.6816087806161397E-3</v>
      </c>
      <c r="L145">
        <f t="shared" si="23"/>
        <v>2.0215327610730179E-5</v>
      </c>
      <c r="M145" s="3">
        <f t="shared" si="30"/>
        <v>1.1233974095129094E-3</v>
      </c>
      <c r="N145" t="str">
        <f t="shared" ca="1" si="31"/>
        <v>wait</v>
      </c>
      <c r="O145">
        <f t="shared" si="24"/>
        <v>-8.8194084978476806E-4</v>
      </c>
      <c r="P145">
        <f t="shared" si="25"/>
        <v>-3.7730868920520244E-3</v>
      </c>
      <c r="Q145">
        <f t="shared" si="26"/>
        <v>-9.1710766332202542E-3</v>
      </c>
      <c r="R145">
        <f t="shared" si="35"/>
        <v>9.0272590062966396E-3</v>
      </c>
      <c r="S145" s="3">
        <f t="shared" si="27"/>
        <v>2.9344577978076335E-2</v>
      </c>
      <c r="T145" s="3">
        <f t="shared" si="32"/>
        <v>-1.3001679779744146E-3</v>
      </c>
      <c r="V145" t="str">
        <f t="shared" si="33"/>
        <v>11-1</v>
      </c>
    </row>
    <row r="146" spans="1:22">
      <c r="A146" s="1">
        <v>45503</v>
      </c>
      <c r="B146" t="s">
        <v>7</v>
      </c>
      <c r="C146">
        <v>546.26000980000003</v>
      </c>
      <c r="D146">
        <v>547.3400269</v>
      </c>
      <c r="E146">
        <v>538.52001949999999</v>
      </c>
      <c r="F146">
        <v>542</v>
      </c>
      <c r="G146">
        <v>46853600</v>
      </c>
      <c r="H146">
        <f t="shared" si="36"/>
        <v>544.52399902000002</v>
      </c>
      <c r="I146">
        <f t="shared" si="28"/>
        <v>552.57950439000001</v>
      </c>
      <c r="J146" s="4">
        <f t="shared" si="29"/>
        <v>537.36000110000009</v>
      </c>
      <c r="K146">
        <f t="shared" si="34"/>
        <v>-3.2576181959474608E-3</v>
      </c>
      <c r="L146">
        <f t="shared" si="23"/>
        <v>-5.3179399217868385E-5</v>
      </c>
      <c r="M146" s="3">
        <f t="shared" si="30"/>
        <v>1.4203752427902965E-3</v>
      </c>
      <c r="N146" t="str">
        <f t="shared" ca="1" si="31"/>
        <v>wait</v>
      </c>
      <c r="O146">
        <f t="shared" si="24"/>
        <v>3.1881253776222529E-3</v>
      </c>
      <c r="P146">
        <f t="shared" si="25"/>
        <v>4.3342585528782784E-4</v>
      </c>
      <c r="Q146">
        <f t="shared" si="26"/>
        <v>-3.313037300921251E-3</v>
      </c>
      <c r="R146">
        <f t="shared" si="35"/>
        <v>5.8580393322990032E-3</v>
      </c>
      <c r="S146" s="3">
        <f t="shared" si="27"/>
        <v>2.8322731983856098E-2</v>
      </c>
      <c r="T146" s="3">
        <f t="shared" si="32"/>
        <v>-1.0218459942202378E-3</v>
      </c>
      <c r="V146" t="str">
        <f t="shared" si="33"/>
        <v>11-1</v>
      </c>
    </row>
    <row r="147" spans="1:22">
      <c r="A147" s="1">
        <v>45504</v>
      </c>
      <c r="B147" t="s">
        <v>7</v>
      </c>
      <c r="C147">
        <v>548.97998050000001</v>
      </c>
      <c r="D147">
        <v>553.5</v>
      </c>
      <c r="E147">
        <v>547.58001709999996</v>
      </c>
      <c r="F147">
        <v>550.80999759999997</v>
      </c>
      <c r="G147">
        <v>65663400</v>
      </c>
      <c r="H147">
        <f t="shared" si="36"/>
        <v>542.16799315999992</v>
      </c>
      <c r="I147">
        <f t="shared" si="28"/>
        <v>552.41250304500011</v>
      </c>
      <c r="J147" s="4">
        <f t="shared" si="29"/>
        <v>538.00548479354848</v>
      </c>
      <c r="K147">
        <f t="shared" si="34"/>
        <v>2.8454428902428082E-4</v>
      </c>
      <c r="L147">
        <f t="shared" si="23"/>
        <v>-6.3842276778830725E-4</v>
      </c>
      <c r="M147" s="3">
        <f t="shared" si="30"/>
        <v>1.3873619597023934E-3</v>
      </c>
      <c r="N147" t="str">
        <f t="shared" ca="1" si="31"/>
        <v>wait</v>
      </c>
      <c r="O147">
        <f t="shared" si="24"/>
        <v>1.2564347999033831E-2</v>
      </c>
      <c r="P147">
        <f t="shared" si="25"/>
        <v>-3.0985444017228581E-4</v>
      </c>
      <c r="Q147">
        <f t="shared" si="26"/>
        <v>-6.7284932087892102E-3</v>
      </c>
      <c r="R147">
        <f t="shared" si="35"/>
        <v>-3.4154559078679592E-3</v>
      </c>
      <c r="S147" s="3">
        <f t="shared" si="27"/>
        <v>2.6778571331814785E-2</v>
      </c>
      <c r="T147" s="3">
        <f t="shared" si="32"/>
        <v>-1.5441606520413126E-3</v>
      </c>
      <c r="V147" t="str">
        <f t="shared" si="33"/>
        <v>11-1</v>
      </c>
    </row>
    <row r="148" spans="1:22">
      <c r="A148" s="1">
        <v>45505</v>
      </c>
      <c r="B148" t="s">
        <v>7</v>
      </c>
      <c r="C148">
        <v>552.57000730000004</v>
      </c>
      <c r="D148">
        <v>554.86999509999998</v>
      </c>
      <c r="E148">
        <v>539.42999269999996</v>
      </c>
      <c r="F148">
        <v>543.01000980000003</v>
      </c>
      <c r="G148">
        <v>76428700</v>
      </c>
      <c r="H148">
        <f t="shared" si="36"/>
        <v>544.08399657999996</v>
      </c>
      <c r="I148">
        <f t="shared" si="28"/>
        <v>552.502502435</v>
      </c>
      <c r="J148" s="4">
        <f t="shared" si="29"/>
        <v>538.81935562419358</v>
      </c>
      <c r="K148">
        <f t="shared" si="34"/>
        <v>4.6061644915692864E-3</v>
      </c>
      <c r="L148">
        <f t="shared" si="23"/>
        <v>-5.8936674832976981E-5</v>
      </c>
      <c r="M148" s="3">
        <f t="shared" si="30"/>
        <v>1.5108013025225458E-3</v>
      </c>
      <c r="N148" t="str">
        <f t="shared" ca="1" si="31"/>
        <v>wait</v>
      </c>
      <c r="O148">
        <f t="shared" si="24"/>
        <v>1.5596876168645579E-2</v>
      </c>
      <c r="P148">
        <f t="shared" si="25"/>
        <v>1.2362063692882508E-2</v>
      </c>
      <c r="Q148">
        <f t="shared" si="26"/>
        <v>6.4255161739277256E-3</v>
      </c>
      <c r="R148">
        <f t="shared" si="35"/>
        <v>1.3154009382716936E-2</v>
      </c>
      <c r="S148" s="3">
        <f t="shared" si="27"/>
        <v>2.5394683149337169E-2</v>
      </c>
      <c r="T148" s="3">
        <f t="shared" si="32"/>
        <v>-1.3838881824776161E-3</v>
      </c>
      <c r="V148" t="str">
        <f t="shared" si="33"/>
        <v>11-1</v>
      </c>
    </row>
    <row r="149" spans="1:22">
      <c r="A149" s="1">
        <v>45506</v>
      </c>
      <c r="B149" t="s">
        <v>7</v>
      </c>
      <c r="C149">
        <v>535.75</v>
      </c>
      <c r="D149">
        <v>536.98999019999997</v>
      </c>
      <c r="E149">
        <v>528.59997559999999</v>
      </c>
      <c r="F149">
        <v>532.90002440000001</v>
      </c>
      <c r="G149">
        <v>82789100</v>
      </c>
      <c r="H149">
        <f t="shared" si="36"/>
        <v>545.00400391999995</v>
      </c>
      <c r="I149">
        <f t="shared" si="28"/>
        <v>552.08000182499995</v>
      </c>
      <c r="J149" s="4">
        <f t="shared" si="29"/>
        <v>539.43193644677422</v>
      </c>
      <c r="K149">
        <f t="shared" si="34"/>
        <v>-5.2530768999202817E-4</v>
      </c>
      <c r="L149">
        <f t="shared" si="23"/>
        <v>-1.0484282141442107E-3</v>
      </c>
      <c r="M149" s="3">
        <f t="shared" si="30"/>
        <v>1.0339859561979566E-3</v>
      </c>
      <c r="N149" t="str">
        <f t="shared" ca="1" si="31"/>
        <v>wait</v>
      </c>
      <c r="O149">
        <f t="shared" si="24"/>
        <v>-1.6979698962648948E-2</v>
      </c>
      <c r="P149">
        <f t="shared" si="25"/>
        <v>-3.6586779283416249E-3</v>
      </c>
      <c r="Q149">
        <f t="shared" si="26"/>
        <v>-1.0227468385384908E-2</v>
      </c>
      <c r="R149">
        <f t="shared" si="35"/>
        <v>-1.6652984559312634E-2</v>
      </c>
      <c r="S149" s="3">
        <f t="shared" si="27"/>
        <v>2.3447008832176777E-2</v>
      </c>
      <c r="T149" s="3">
        <f t="shared" si="32"/>
        <v>-1.9476743171603916E-3</v>
      </c>
      <c r="V149" t="str">
        <f t="shared" si="33"/>
        <v>11-1</v>
      </c>
    </row>
    <row r="150" spans="1:22">
      <c r="A150" s="1">
        <v>45509</v>
      </c>
      <c r="B150" t="s">
        <v>7</v>
      </c>
      <c r="C150">
        <v>511.64001459999997</v>
      </c>
      <c r="D150">
        <v>523.58001709999996</v>
      </c>
      <c r="E150">
        <v>510.26998900000001</v>
      </c>
      <c r="F150">
        <v>517.38000490000002</v>
      </c>
      <c r="G150">
        <v>146267400</v>
      </c>
      <c r="H150">
        <f t="shared" si="36"/>
        <v>542.69600831999992</v>
      </c>
      <c r="I150">
        <f t="shared" si="28"/>
        <v>550.9930023149999</v>
      </c>
      <c r="J150" s="4">
        <f t="shared" si="29"/>
        <v>539.78048509032271</v>
      </c>
      <c r="K150">
        <f t="shared" si="34"/>
        <v>-4.3542055902209978E-3</v>
      </c>
      <c r="L150">
        <f t="shared" si="23"/>
        <v>-2.0151998738557929E-3</v>
      </c>
      <c r="M150" s="3">
        <f t="shared" si="30"/>
        <v>5.2687331401453992E-4</v>
      </c>
      <c r="N150" t="str">
        <f t="shared" ca="1" si="31"/>
        <v>buy</v>
      </c>
      <c r="O150">
        <f t="shared" si="24"/>
        <v>-5.7225395514034827E-2</v>
      </c>
      <c r="P150">
        <f t="shared" si="25"/>
        <v>-1.8050591435755936E-2</v>
      </c>
      <c r="Q150">
        <f t="shared" si="26"/>
        <v>-2.5974085867401908E-2</v>
      </c>
      <c r="R150">
        <f t="shared" si="35"/>
        <v>-1.5746617482017E-2</v>
      </c>
      <c r="S150" s="3">
        <f t="shared" si="27"/>
        <v>2.0772364941650252E-2</v>
      </c>
      <c r="T150" s="3">
        <f t="shared" si="32"/>
        <v>-2.6746438905265249E-3</v>
      </c>
      <c r="V150" t="str">
        <f t="shared" si="33"/>
        <v>11-1</v>
      </c>
    </row>
    <row r="151" spans="1:22">
      <c r="A151" s="1">
        <v>45510</v>
      </c>
      <c r="B151" t="s">
        <v>7</v>
      </c>
      <c r="C151">
        <v>519.21997069999998</v>
      </c>
      <c r="D151">
        <v>529.75</v>
      </c>
      <c r="E151">
        <v>517.86999509999998</v>
      </c>
      <c r="F151">
        <v>522.15002440000001</v>
      </c>
      <c r="G151">
        <v>84826300</v>
      </c>
      <c r="H151">
        <f t="shared" si="36"/>
        <v>537.22000734000005</v>
      </c>
      <c r="I151">
        <f t="shared" si="28"/>
        <v>549.09800109499997</v>
      </c>
      <c r="J151" s="4">
        <f t="shared" si="29"/>
        <v>539.79354956774193</v>
      </c>
      <c r="K151">
        <f t="shared" si="34"/>
        <v>-9.0848690405903997E-3</v>
      </c>
      <c r="L151">
        <f t="shared" ref="L151:L214" si="37">(F150-F131)/F131/20</f>
        <v>-3.4579541843707236E-3</v>
      </c>
      <c r="M151" s="3">
        <f t="shared" si="30"/>
        <v>7.7345365286186514E-6</v>
      </c>
      <c r="N151" t="str">
        <f t="shared" ca="1" si="31"/>
        <v>buy</v>
      </c>
      <c r="O151">
        <f t="shared" ref="O151:O214" si="38">C151/H151-1</f>
        <v>-3.350589403608728E-2</v>
      </c>
      <c r="P151">
        <f t="shared" ref="P151:P214" si="39">F150/H151-1</f>
        <v>-3.6930870349070055E-2</v>
      </c>
      <c r="Q151">
        <f t="shared" ref="Q151:Q214" si="40">E150/H151-1</f>
        <v>-5.0165701149964215E-2</v>
      </c>
      <c r="R151">
        <f t="shared" si="35"/>
        <v>-2.4191615282562307E-2</v>
      </c>
      <c r="S151" s="3">
        <f t="shared" ref="S151:S214" si="41">(I151-J151)/J151</f>
        <v>1.7237055786807558E-2</v>
      </c>
      <c r="T151" s="3">
        <f t="shared" si="32"/>
        <v>-3.5353091548426946E-3</v>
      </c>
      <c r="V151" t="str">
        <f t="shared" si="33"/>
        <v>11-1</v>
      </c>
    </row>
    <row r="152" spans="1:22">
      <c r="A152" s="1">
        <v>45511</v>
      </c>
      <c r="B152" t="s">
        <v>7</v>
      </c>
      <c r="C152">
        <v>528.46997069999998</v>
      </c>
      <c r="D152">
        <v>531.5900269</v>
      </c>
      <c r="E152">
        <v>518.04998780000005</v>
      </c>
      <c r="F152">
        <v>518.6599731</v>
      </c>
      <c r="G152">
        <v>70698300</v>
      </c>
      <c r="H152">
        <f t="shared" si="36"/>
        <v>533.25001222000003</v>
      </c>
      <c r="I152">
        <f t="shared" si="28"/>
        <v>547.41450194999993</v>
      </c>
      <c r="J152" s="4">
        <f t="shared" si="29"/>
        <v>539.87435617741949</v>
      </c>
      <c r="K152">
        <f t="shared" si="34"/>
        <v>-1.0406482571078143E-2</v>
      </c>
      <c r="L152">
        <f t="shared" si="37"/>
        <v>-3.4890955596266018E-3</v>
      </c>
      <c r="M152" s="3">
        <f t="shared" si="30"/>
        <v>1.5983880769102239E-4</v>
      </c>
      <c r="N152" t="str">
        <f t="shared" ca="1" si="31"/>
        <v>wait</v>
      </c>
      <c r="O152">
        <f t="shared" si="38"/>
        <v>-8.9639782662170875E-3</v>
      </c>
      <c r="P152">
        <f t="shared" si="39"/>
        <v>-2.081572914323826E-2</v>
      </c>
      <c r="Q152">
        <f t="shared" si="40"/>
        <v>-2.884203800759555E-2</v>
      </c>
      <c r="R152">
        <f t="shared" si="35"/>
        <v>2.1323663142368665E-2</v>
      </c>
      <c r="S152" s="3">
        <f t="shared" si="41"/>
        <v>1.3966482545991718E-2</v>
      </c>
      <c r="T152" s="3">
        <f t="shared" si="32"/>
        <v>-3.2705732408158401E-3</v>
      </c>
      <c r="V152" t="str">
        <f t="shared" si="33"/>
        <v>11-1</v>
      </c>
    </row>
    <row r="153" spans="1:22">
      <c r="A153" s="1">
        <v>45512</v>
      </c>
      <c r="B153" t="s">
        <v>7</v>
      </c>
      <c r="C153">
        <v>523.9099731</v>
      </c>
      <c r="D153">
        <v>531.28997800000002</v>
      </c>
      <c r="E153">
        <v>521.8400269</v>
      </c>
      <c r="F153">
        <v>530.65002440000001</v>
      </c>
      <c r="G153">
        <v>63276600</v>
      </c>
      <c r="H153">
        <f t="shared" si="36"/>
        <v>526.82000732000006</v>
      </c>
      <c r="I153">
        <f t="shared" si="28"/>
        <v>545.28150024000001</v>
      </c>
      <c r="J153" s="4">
        <f t="shared" si="29"/>
        <v>539.89806538225821</v>
      </c>
      <c r="K153">
        <f t="shared" si="34"/>
        <v>-8.9685406384934115E-3</v>
      </c>
      <c r="L153">
        <f t="shared" si="37"/>
        <v>-3.3981462698818516E-3</v>
      </c>
      <c r="M153" s="3">
        <f t="shared" si="30"/>
        <v>-4.8381934420154279E-5</v>
      </c>
      <c r="N153" t="str">
        <f t="shared" ca="1" si="31"/>
        <v>wait</v>
      </c>
      <c r="O153">
        <f t="shared" si="38"/>
        <v>-5.5237731664820044E-3</v>
      </c>
      <c r="P153">
        <f t="shared" si="39"/>
        <v>-1.5489226123949207E-2</v>
      </c>
      <c r="Q153">
        <f t="shared" si="40"/>
        <v>-1.6647088945262678E-2</v>
      </c>
      <c r="R153">
        <f t="shared" si="35"/>
        <v>1.2194949062332872E-2</v>
      </c>
      <c r="S153" s="3">
        <f t="shared" si="41"/>
        <v>9.9712060533690347E-3</v>
      </c>
      <c r="T153" s="3">
        <f t="shared" si="32"/>
        <v>-3.995276492622683E-3</v>
      </c>
      <c r="V153" t="str">
        <f t="shared" si="33"/>
        <v>-11-1</v>
      </c>
    </row>
    <row r="154" spans="1:22">
      <c r="A154" s="1">
        <v>45513</v>
      </c>
      <c r="B154" t="s">
        <v>7</v>
      </c>
      <c r="C154">
        <v>529.80999759999997</v>
      </c>
      <c r="D154">
        <v>534.51000980000003</v>
      </c>
      <c r="E154">
        <v>528.55999759999997</v>
      </c>
      <c r="F154">
        <v>532.98999019999997</v>
      </c>
      <c r="G154">
        <v>45619600</v>
      </c>
      <c r="H154">
        <f t="shared" si="36"/>
        <v>524.34801024000001</v>
      </c>
      <c r="I154">
        <f t="shared" si="28"/>
        <v>543.99000243500006</v>
      </c>
      <c r="J154" s="4">
        <f t="shared" si="29"/>
        <v>540.06709830967759</v>
      </c>
      <c r="K154">
        <f t="shared" si="34"/>
        <v>-8.444360656704071E-4</v>
      </c>
      <c r="L154">
        <f t="shared" si="37"/>
        <v>-2.6196866295343257E-3</v>
      </c>
      <c r="M154" s="3">
        <f t="shared" si="30"/>
        <v>3.1391588566353611E-4</v>
      </c>
      <c r="N154" t="str">
        <f t="shared" ca="1" si="31"/>
        <v>wait</v>
      </c>
      <c r="O154">
        <f t="shared" si="38"/>
        <v>1.0416721820876162E-2</v>
      </c>
      <c r="P154">
        <f t="shared" si="39"/>
        <v>1.2018762419095497E-2</v>
      </c>
      <c r="Q154">
        <f t="shared" si="40"/>
        <v>-4.7830511244851825E-3</v>
      </c>
      <c r="R154">
        <f t="shared" si="35"/>
        <v>1.1864037820777495E-2</v>
      </c>
      <c r="S154" s="3">
        <f t="shared" si="41"/>
        <v>7.2637347055588622E-3</v>
      </c>
      <c r="T154" s="3">
        <f t="shared" si="32"/>
        <v>-2.7074713478101725E-3</v>
      </c>
      <c r="V154" t="str">
        <f t="shared" si="33"/>
        <v>11-1</v>
      </c>
    </row>
    <row r="155" spans="1:22">
      <c r="A155" s="1">
        <v>45516</v>
      </c>
      <c r="B155" t="s">
        <v>7</v>
      </c>
      <c r="C155">
        <v>534.21002199999998</v>
      </c>
      <c r="D155">
        <v>535.72998050000001</v>
      </c>
      <c r="E155">
        <v>530.95001219999995</v>
      </c>
      <c r="F155">
        <v>533.27001949999999</v>
      </c>
      <c r="G155">
        <v>42542100</v>
      </c>
      <c r="H155">
        <f t="shared" si="36"/>
        <v>524.36600340000007</v>
      </c>
      <c r="I155">
        <f t="shared" si="28"/>
        <v>542.64000243500004</v>
      </c>
      <c r="J155" s="4">
        <f t="shared" si="29"/>
        <v>540.26306545967748</v>
      </c>
      <c r="K155">
        <f t="shared" si="34"/>
        <v>6.0342437481777323E-3</v>
      </c>
      <c r="L155">
        <f t="shared" si="37"/>
        <v>-2.5412745187980328E-3</v>
      </c>
      <c r="M155" s="3">
        <f t="shared" si="30"/>
        <v>3.8650367382135408E-4</v>
      </c>
      <c r="N155" t="str">
        <f t="shared" ca="1" si="31"/>
        <v>wait</v>
      </c>
      <c r="O155">
        <f t="shared" si="38"/>
        <v>1.8773182350059203E-2</v>
      </c>
      <c r="P155">
        <f t="shared" si="39"/>
        <v>1.6446502527017071E-2</v>
      </c>
      <c r="Q155">
        <f t="shared" si="40"/>
        <v>7.9982191309238004E-3</v>
      </c>
      <c r="R155">
        <f t="shared" si="35"/>
        <v>1.2781270255408983E-2</v>
      </c>
      <c r="S155" s="3">
        <f t="shared" si="41"/>
        <v>4.3995918419856657E-3</v>
      </c>
      <c r="T155" s="3">
        <f t="shared" si="32"/>
        <v>-2.8641428635731965E-3</v>
      </c>
      <c r="V155" t="str">
        <f t="shared" si="33"/>
        <v>11-1</v>
      </c>
    </row>
    <row r="156" spans="1:22">
      <c r="A156" s="1">
        <v>45517</v>
      </c>
      <c r="B156" t="s">
        <v>7</v>
      </c>
      <c r="C156">
        <v>536.53002930000002</v>
      </c>
      <c r="D156">
        <v>542.28002930000002</v>
      </c>
      <c r="E156">
        <v>536.28002930000002</v>
      </c>
      <c r="F156">
        <v>542.03997800000002</v>
      </c>
      <c r="G156">
        <v>52333100</v>
      </c>
      <c r="H156">
        <f t="shared" si="36"/>
        <v>527.54400631999999</v>
      </c>
      <c r="I156">
        <f t="shared" si="28"/>
        <v>541.22700194499998</v>
      </c>
      <c r="J156" s="4">
        <f t="shared" si="29"/>
        <v>540.46242104677435</v>
      </c>
      <c r="K156">
        <f t="shared" si="34"/>
        <v>4.2593103822135842E-3</v>
      </c>
      <c r="L156">
        <f t="shared" si="37"/>
        <v>-2.7962651556588764E-3</v>
      </c>
      <c r="M156" s="3">
        <f t="shared" si="30"/>
        <v>3.1753716582066184E-4</v>
      </c>
      <c r="N156" t="str">
        <f t="shared" ca="1" si="31"/>
        <v>wait</v>
      </c>
      <c r="O156">
        <f t="shared" si="38"/>
        <v>1.7033693630004398E-2</v>
      </c>
      <c r="P156">
        <f t="shared" si="39"/>
        <v>1.0854095793719765E-2</v>
      </c>
      <c r="Q156">
        <f t="shared" si="40"/>
        <v>6.4563445687864096E-3</v>
      </c>
      <c r="R156">
        <f t="shared" si="35"/>
        <v>-1.5418745621373908E-3</v>
      </c>
      <c r="S156" s="3">
        <f t="shared" si="41"/>
        <v>1.4146791126472427E-3</v>
      </c>
      <c r="T156" s="3">
        <f t="shared" si="32"/>
        <v>-2.9849127293384231E-3</v>
      </c>
      <c r="V156" t="str">
        <f t="shared" si="33"/>
        <v>11-1</v>
      </c>
    </row>
    <row r="157" spans="1:22">
      <c r="A157" s="1">
        <v>45518</v>
      </c>
      <c r="B157" t="s">
        <v>7</v>
      </c>
      <c r="C157">
        <v>542.84997559999999</v>
      </c>
      <c r="D157">
        <v>544.96002199999998</v>
      </c>
      <c r="E157">
        <v>540.11999509999998</v>
      </c>
      <c r="F157">
        <v>543.75</v>
      </c>
      <c r="G157">
        <v>42446900</v>
      </c>
      <c r="H157">
        <f t="shared" si="36"/>
        <v>531.52199703999997</v>
      </c>
      <c r="I157">
        <f t="shared" si="28"/>
        <v>540.08600157500007</v>
      </c>
      <c r="J157" s="4">
        <f t="shared" si="29"/>
        <v>540.76467895322594</v>
      </c>
      <c r="K157">
        <f t="shared" si="34"/>
        <v>9.015542402572194E-3</v>
      </c>
      <c r="L157">
        <f t="shared" si="37"/>
        <v>-1.3376687197716008E-3</v>
      </c>
      <c r="M157" s="3">
        <f t="shared" si="30"/>
        <v>3.856930556693849E-4</v>
      </c>
      <c r="N157" t="str">
        <f t="shared" ca="1" si="31"/>
        <v>wait</v>
      </c>
      <c r="O157">
        <f t="shared" si="38"/>
        <v>2.1312341959664138E-2</v>
      </c>
      <c r="P157">
        <f t="shared" si="39"/>
        <v>1.9788420834083498E-2</v>
      </c>
      <c r="Q157">
        <f t="shared" si="40"/>
        <v>8.9517127917511097E-3</v>
      </c>
      <c r="R157">
        <f t="shared" si="35"/>
        <v>2.4953682229647001E-3</v>
      </c>
      <c r="S157" s="3">
        <f t="shared" si="41"/>
        <v>-1.2550327427812156E-3</v>
      </c>
      <c r="T157" s="3">
        <f t="shared" si="32"/>
        <v>-2.6697118554284581E-3</v>
      </c>
      <c r="V157" t="str">
        <f t="shared" si="33"/>
        <v>1-1-1</v>
      </c>
    </row>
    <row r="158" spans="1:22">
      <c r="A158" s="1">
        <v>45519</v>
      </c>
      <c r="B158" t="s">
        <v>7</v>
      </c>
      <c r="C158">
        <v>549.5</v>
      </c>
      <c r="D158">
        <v>553.35998540000003</v>
      </c>
      <c r="E158">
        <v>548.88000490000002</v>
      </c>
      <c r="F158">
        <v>553.07000730000004</v>
      </c>
      <c r="G158">
        <v>60846800</v>
      </c>
      <c r="H158">
        <f t="shared" si="36"/>
        <v>536.54000242000006</v>
      </c>
      <c r="I158">
        <f t="shared" si="28"/>
        <v>539.42650145499999</v>
      </c>
      <c r="J158" s="4">
        <f t="shared" si="29"/>
        <v>540.99000106129029</v>
      </c>
      <c r="K158">
        <f t="shared" si="34"/>
        <v>4.9373315735967366E-3</v>
      </c>
      <c r="L158">
        <f t="shared" si="37"/>
        <v>-8.0609900605085102E-4</v>
      </c>
      <c r="M158" s="3">
        <f t="shared" si="30"/>
        <v>4.7475828720153527E-4</v>
      </c>
      <c r="N158" t="str">
        <f t="shared" ca="1" si="31"/>
        <v>wait</v>
      </c>
      <c r="O158">
        <f t="shared" si="38"/>
        <v>2.4154764829361186E-2</v>
      </c>
      <c r="P158">
        <f t="shared" si="39"/>
        <v>1.3437949728780874E-2</v>
      </c>
      <c r="Q158">
        <f t="shared" si="40"/>
        <v>6.6723686283460815E-3</v>
      </c>
      <c r="R158">
        <f t="shared" si="35"/>
        <v>-2.2793441634050282E-3</v>
      </c>
      <c r="S158" s="3">
        <f t="shared" si="41"/>
        <v>-2.8900711717833754E-3</v>
      </c>
      <c r="T158" s="3">
        <f t="shared" si="32"/>
        <v>-1.6350384290021599E-3</v>
      </c>
      <c r="V158" t="str">
        <f t="shared" si="33"/>
        <v>1-1-1</v>
      </c>
    </row>
    <row r="159" spans="1:22">
      <c r="A159" s="1">
        <v>45520</v>
      </c>
      <c r="B159" t="s">
        <v>7</v>
      </c>
      <c r="C159">
        <v>551.41998290000004</v>
      </c>
      <c r="D159">
        <v>555.02001949999999</v>
      </c>
      <c r="E159">
        <v>551.26000980000003</v>
      </c>
      <c r="F159">
        <v>554.30999759999997</v>
      </c>
      <c r="G159">
        <v>44430700</v>
      </c>
      <c r="H159">
        <f t="shared" si="36"/>
        <v>541.023999</v>
      </c>
      <c r="I159">
        <f t="shared" si="28"/>
        <v>539.44700316500007</v>
      </c>
      <c r="J159" s="4">
        <f t="shared" si="29"/>
        <v>541.38322694677424</v>
      </c>
      <c r="K159">
        <f t="shared" si="34"/>
        <v>7.5348571152209524E-3</v>
      </c>
      <c r="L159">
        <f t="shared" si="37"/>
        <v>3.7159303200716881E-4</v>
      </c>
      <c r="M159" s="3">
        <f t="shared" si="30"/>
        <v>7.4353872118014779E-4</v>
      </c>
      <c r="N159" t="str">
        <f t="shared" ca="1" si="31"/>
        <v>wait</v>
      </c>
      <c r="O159">
        <f t="shared" si="38"/>
        <v>1.921538401108891E-2</v>
      </c>
      <c r="P159">
        <f t="shared" si="39"/>
        <v>2.2265201400058388E-2</v>
      </c>
      <c r="Q159">
        <f t="shared" si="40"/>
        <v>1.4520623696029356E-2</v>
      </c>
      <c r="R159">
        <f t="shared" si="35"/>
        <v>7.8482550676832741E-3</v>
      </c>
      <c r="S159" s="3">
        <f t="shared" si="41"/>
        <v>-3.576438436583727E-3</v>
      </c>
      <c r="T159" s="3">
        <f t="shared" si="32"/>
        <v>-6.8636726480035158E-4</v>
      </c>
      <c r="V159" t="str">
        <f t="shared" si="33"/>
        <v>1-1-1</v>
      </c>
    </row>
    <row r="160" spans="1:22">
      <c r="A160" s="1">
        <v>45523</v>
      </c>
      <c r="B160" t="s">
        <v>7</v>
      </c>
      <c r="C160">
        <v>554.72998050000001</v>
      </c>
      <c r="D160">
        <v>559.60998540000003</v>
      </c>
      <c r="E160">
        <v>553.85998540000003</v>
      </c>
      <c r="F160">
        <v>559.60998540000003</v>
      </c>
      <c r="G160">
        <v>39121800</v>
      </c>
      <c r="H160">
        <f t="shared" si="36"/>
        <v>545.28800048000005</v>
      </c>
      <c r="I160">
        <f t="shared" si="28"/>
        <v>539.71300353499998</v>
      </c>
      <c r="J160" s="4">
        <f t="shared" si="29"/>
        <v>541.78419445322584</v>
      </c>
      <c r="K160">
        <f t="shared" si="34"/>
        <v>7.8909285467528463E-3</v>
      </c>
      <c r="L160">
        <f t="shared" si="37"/>
        <v>-3.0652374023408799E-5</v>
      </c>
      <c r="M160" s="3">
        <f t="shared" si="30"/>
        <v>7.6249229992198658E-4</v>
      </c>
      <c r="N160" t="str">
        <f t="shared" ca="1" si="31"/>
        <v>wait</v>
      </c>
      <c r="O160">
        <f t="shared" si="38"/>
        <v>1.7315583712989246E-2</v>
      </c>
      <c r="P160">
        <f t="shared" si="39"/>
        <v>1.6545379894767898E-2</v>
      </c>
      <c r="Q160">
        <f t="shared" si="40"/>
        <v>1.0952027762839212E-2</v>
      </c>
      <c r="R160">
        <f t="shared" si="35"/>
        <v>-3.568595933190144E-3</v>
      </c>
      <c r="S160" s="3">
        <f t="shared" si="41"/>
        <v>-3.8229076068121912E-3</v>
      </c>
      <c r="T160" s="3">
        <f t="shared" si="32"/>
        <v>-2.4646917022846417E-4</v>
      </c>
      <c r="V160" t="str">
        <f t="shared" si="33"/>
        <v>1-1-1</v>
      </c>
    </row>
    <row r="161" spans="1:22">
      <c r="A161" s="1">
        <v>45524</v>
      </c>
      <c r="B161" t="s">
        <v>7</v>
      </c>
      <c r="C161">
        <v>559.15002440000001</v>
      </c>
      <c r="D161">
        <v>560.8400269</v>
      </c>
      <c r="E161">
        <v>557.33001709999996</v>
      </c>
      <c r="F161">
        <v>558.70001219999995</v>
      </c>
      <c r="G161">
        <v>33732300</v>
      </c>
      <c r="H161">
        <f t="shared" si="36"/>
        <v>550.55599366000001</v>
      </c>
      <c r="I161">
        <f t="shared" si="28"/>
        <v>539.96100158499996</v>
      </c>
      <c r="J161" s="4">
        <f t="shared" si="29"/>
        <v>542.26080715967737</v>
      </c>
      <c r="K161">
        <f t="shared" si="34"/>
        <v>6.4829193834850347E-3</v>
      </c>
      <c r="L161">
        <f t="shared" si="37"/>
        <v>5.2637832636988552E-4</v>
      </c>
      <c r="M161" s="3">
        <f t="shared" si="30"/>
        <v>8.8609106118312029E-4</v>
      </c>
      <c r="N161" t="str">
        <f t="shared" ca="1" si="31"/>
        <v>wait</v>
      </c>
      <c r="O161">
        <f t="shared" si="38"/>
        <v>1.5609730597733407E-2</v>
      </c>
      <c r="P161">
        <f t="shared" si="39"/>
        <v>1.644517877248175E-2</v>
      </c>
      <c r="Q161">
        <f t="shared" si="40"/>
        <v>6.0011911196091727E-3</v>
      </c>
      <c r="R161">
        <f t="shared" si="35"/>
        <v>-4.9508366432300388E-3</v>
      </c>
      <c r="S161" s="3">
        <f t="shared" si="41"/>
        <v>-4.2411429045068208E-3</v>
      </c>
      <c r="T161" s="3">
        <f t="shared" si="32"/>
        <v>-4.1823529769462967E-4</v>
      </c>
      <c r="V161" t="str">
        <f t="shared" si="33"/>
        <v>1-1-1</v>
      </c>
    </row>
    <row r="162" spans="1:22">
      <c r="A162" s="1">
        <v>45525</v>
      </c>
      <c r="B162" t="s">
        <v>7</v>
      </c>
      <c r="C162">
        <v>559.77001949999999</v>
      </c>
      <c r="D162">
        <v>562.10998540000003</v>
      </c>
      <c r="E162">
        <v>554.72998050000001</v>
      </c>
      <c r="F162">
        <v>560.61999509999998</v>
      </c>
      <c r="G162">
        <v>41514600</v>
      </c>
      <c r="H162">
        <f t="shared" si="36"/>
        <v>553.88800049999998</v>
      </c>
      <c r="I162">
        <f t="shared" ref="I162:I225" si="42">AVERAGE(F142:F161)</f>
        <v>540.20700072999989</v>
      </c>
      <c r="J162" s="4">
        <f t="shared" si="29"/>
        <v>542.70177533387096</v>
      </c>
      <c r="K162">
        <f t="shared" si="34"/>
        <v>5.4988550620689459E-3</v>
      </c>
      <c r="L162">
        <f t="shared" si="37"/>
        <v>1.6139194362312249E-3</v>
      </c>
      <c r="M162" s="3">
        <f t="shared" si="30"/>
        <v>9.0815274610835128E-4</v>
      </c>
      <c r="N162" t="str">
        <f t="shared" ca="1" si="31"/>
        <v>wait</v>
      </c>
      <c r="O162">
        <f t="shared" si="38"/>
        <v>1.0619509710790398E-2</v>
      </c>
      <c r="P162">
        <f t="shared" si="39"/>
        <v>8.6876980466377152E-3</v>
      </c>
      <c r="Q162">
        <f t="shared" si="40"/>
        <v>6.2142826652551442E-3</v>
      </c>
      <c r="R162">
        <f t="shared" si="35"/>
        <v>2.1309154564597144E-4</v>
      </c>
      <c r="S162" s="3">
        <f t="shared" si="41"/>
        <v>-4.5969530914769458E-3</v>
      </c>
      <c r="T162" s="3">
        <f t="shared" si="32"/>
        <v>-3.5581018697012495E-4</v>
      </c>
      <c r="V162" t="str">
        <f t="shared" si="33"/>
        <v>1-1-1</v>
      </c>
    </row>
    <row r="163" spans="1:22">
      <c r="A163" s="1">
        <v>45526</v>
      </c>
      <c r="B163" t="s">
        <v>7</v>
      </c>
      <c r="C163">
        <v>562.55999759999997</v>
      </c>
      <c r="D163">
        <v>563.17999269999996</v>
      </c>
      <c r="E163">
        <v>554.97998050000001</v>
      </c>
      <c r="F163">
        <v>556.21997069999998</v>
      </c>
      <c r="G163">
        <v>56121500</v>
      </c>
      <c r="H163">
        <f t="shared" si="36"/>
        <v>557.26199952000002</v>
      </c>
      <c r="I163">
        <f t="shared" si="42"/>
        <v>541.17650145999983</v>
      </c>
      <c r="J163" s="4">
        <f t="shared" si="29"/>
        <v>543.19838788225809</v>
      </c>
      <c r="K163">
        <f t="shared" si="34"/>
        <v>2.7302105340543713E-3</v>
      </c>
      <c r="L163">
        <f t="shared" si="37"/>
        <v>2.062556704895478E-3</v>
      </c>
      <c r="M163" s="3">
        <f t="shared" si="30"/>
        <v>1.0983082252843418E-3</v>
      </c>
      <c r="N163" t="str">
        <f t="shared" ca="1" si="31"/>
        <v>wait</v>
      </c>
      <c r="O163">
        <f t="shared" si="38"/>
        <v>9.5071942543425436E-3</v>
      </c>
      <c r="P163">
        <f t="shared" si="39"/>
        <v>6.0258829471457886E-3</v>
      </c>
      <c r="Q163">
        <f t="shared" si="40"/>
        <v>-4.5436778789527121E-3</v>
      </c>
      <c r="R163">
        <f t="shared" si="35"/>
        <v>-1.0757960544207856E-2</v>
      </c>
      <c r="S163" s="3">
        <f t="shared" si="41"/>
        <v>-3.7221878182313751E-3</v>
      </c>
      <c r="T163" s="3">
        <f t="shared" si="32"/>
        <v>8.7476527324557071E-4</v>
      </c>
      <c r="V163" t="str">
        <f t="shared" si="33"/>
        <v>1-11</v>
      </c>
    </row>
    <row r="164" spans="1:22">
      <c r="A164" s="1">
        <v>45527</v>
      </c>
      <c r="B164" t="s">
        <v>7</v>
      </c>
      <c r="C164">
        <v>559.53002930000002</v>
      </c>
      <c r="D164">
        <v>563.0900269</v>
      </c>
      <c r="E164">
        <v>557.28997800000002</v>
      </c>
      <c r="F164">
        <v>562.13000490000002</v>
      </c>
      <c r="G164">
        <v>50639400</v>
      </c>
      <c r="H164">
        <f t="shared" si="36"/>
        <v>557.8919922</v>
      </c>
      <c r="I164">
        <f t="shared" si="42"/>
        <v>542.06700133999993</v>
      </c>
      <c r="J164" s="4">
        <f t="shared" si="29"/>
        <v>543.68645157096762</v>
      </c>
      <c r="K164">
        <f t="shared" si="34"/>
        <v>6.8913536045520606E-4</v>
      </c>
      <c r="L164">
        <f t="shared" si="37"/>
        <v>1.0818426500690162E-3</v>
      </c>
      <c r="M164" s="3">
        <f t="shared" si="30"/>
        <v>8.4302811079013998E-4</v>
      </c>
      <c r="N164" t="str">
        <f t="shared" ca="1" si="31"/>
        <v>wait</v>
      </c>
      <c r="O164">
        <f t="shared" si="38"/>
        <v>2.9361186805003658E-3</v>
      </c>
      <c r="P164">
        <f t="shared" si="39"/>
        <v>-2.9970344141462268E-3</v>
      </c>
      <c r="Q164">
        <f t="shared" si="40"/>
        <v>-5.2196692921092636E-3</v>
      </c>
      <c r="R164">
        <f t="shared" si="35"/>
        <v>-6.7599141315655142E-4</v>
      </c>
      <c r="S164" s="3">
        <f t="shared" si="41"/>
        <v>-2.9786473918714139E-3</v>
      </c>
      <c r="T164" s="3">
        <f t="shared" si="32"/>
        <v>7.4354042635996122E-4</v>
      </c>
      <c r="V164" t="str">
        <f t="shared" si="33"/>
        <v>1-11</v>
      </c>
    </row>
    <row r="165" spans="1:22">
      <c r="A165" s="1">
        <v>45530</v>
      </c>
      <c r="B165" t="s">
        <v>7</v>
      </c>
      <c r="C165">
        <v>563.17999269999996</v>
      </c>
      <c r="D165">
        <v>563.9099731</v>
      </c>
      <c r="E165">
        <v>559.04998780000005</v>
      </c>
      <c r="F165">
        <v>560.78997800000002</v>
      </c>
      <c r="G165">
        <v>35788600</v>
      </c>
      <c r="H165">
        <f t="shared" si="36"/>
        <v>559.45599365999999</v>
      </c>
      <c r="I165">
        <f t="shared" si="42"/>
        <v>542.95150146499998</v>
      </c>
      <c r="J165" s="4">
        <f t="shared" si="29"/>
        <v>544.2137096758064</v>
      </c>
      <c r="K165">
        <f t="shared" si="34"/>
        <v>9.0063421516637916E-4</v>
      </c>
      <c r="L165">
        <f t="shared" si="37"/>
        <v>1.5942795715104987E-3</v>
      </c>
      <c r="M165" s="3">
        <f t="shared" si="30"/>
        <v>1.0167169188453496E-3</v>
      </c>
      <c r="N165" t="str">
        <f t="shared" ca="1" si="31"/>
        <v>wait</v>
      </c>
      <c r="O165">
        <f t="shared" si="38"/>
        <v>6.6564646410118833E-3</v>
      </c>
      <c r="P165">
        <f t="shared" si="39"/>
        <v>4.7796632269616612E-3</v>
      </c>
      <c r="Q165">
        <f t="shared" si="40"/>
        <v>-3.8716461786918455E-3</v>
      </c>
      <c r="R165">
        <f t="shared" si="35"/>
        <v>1.3480231134174181E-3</v>
      </c>
      <c r="S165" s="3">
        <f t="shared" si="41"/>
        <v>-2.3193245380722415E-3</v>
      </c>
      <c r="T165" s="3">
        <f t="shared" si="32"/>
        <v>6.5932285379917237E-4</v>
      </c>
      <c r="V165" t="str">
        <f t="shared" si="33"/>
        <v>1-11</v>
      </c>
    </row>
    <row r="166" spans="1:22">
      <c r="A166" s="1">
        <v>45531</v>
      </c>
      <c r="B166" t="s">
        <v>7</v>
      </c>
      <c r="C166">
        <v>559.48999019999997</v>
      </c>
      <c r="D166">
        <v>562.05999759999997</v>
      </c>
      <c r="E166">
        <v>558.32000730000004</v>
      </c>
      <c r="F166">
        <v>561.55999759999997</v>
      </c>
      <c r="G166">
        <v>32693900</v>
      </c>
      <c r="H166">
        <f t="shared" si="36"/>
        <v>559.69199217999994</v>
      </c>
      <c r="I166">
        <f t="shared" si="42"/>
        <v>543.752999875</v>
      </c>
      <c r="J166" s="4">
        <f t="shared" si="29"/>
        <v>544.71338677903225</v>
      </c>
      <c r="K166">
        <f t="shared" si="34"/>
        <v>7.4815312488374168E-4</v>
      </c>
      <c r="L166">
        <f t="shared" si="37"/>
        <v>1.7333928044280459E-3</v>
      </c>
      <c r="M166" s="3">
        <f t="shared" si="30"/>
        <v>1.0989673702365918E-3</v>
      </c>
      <c r="N166" t="str">
        <f t="shared" ca="1" si="31"/>
        <v>wait</v>
      </c>
      <c r="O166">
        <f t="shared" si="38"/>
        <v>-3.6091633045021165E-4</v>
      </c>
      <c r="P166">
        <f t="shared" si="39"/>
        <v>1.9617679640606678E-3</v>
      </c>
      <c r="Q166">
        <f t="shared" si="40"/>
        <v>-1.1470672958876493E-3</v>
      </c>
      <c r="R166">
        <f t="shared" si="35"/>
        <v>2.7245788828041961E-3</v>
      </c>
      <c r="S166" s="3">
        <f t="shared" si="41"/>
        <v>-1.7631050151184135E-3</v>
      </c>
      <c r="T166" s="3">
        <f t="shared" si="32"/>
        <v>5.5621952295382797E-4</v>
      </c>
      <c r="V166" t="str">
        <f t="shared" si="33"/>
        <v>1-11</v>
      </c>
    </row>
    <row r="167" spans="1:22">
      <c r="A167" s="1">
        <v>45532</v>
      </c>
      <c r="B167" t="s">
        <v>7</v>
      </c>
      <c r="C167">
        <v>561.21002199999998</v>
      </c>
      <c r="D167">
        <v>561.65002440000001</v>
      </c>
      <c r="E167">
        <v>555.03997800000002</v>
      </c>
      <c r="F167">
        <v>558.29998780000005</v>
      </c>
      <c r="G167">
        <v>41066000</v>
      </c>
      <c r="H167">
        <f t="shared" si="36"/>
        <v>560.2639892599999</v>
      </c>
      <c r="I167">
        <f t="shared" si="42"/>
        <v>544.73099975499997</v>
      </c>
      <c r="J167" s="4">
        <f t="shared" si="29"/>
        <v>545.28532261774194</v>
      </c>
      <c r="K167">
        <f t="shared" si="34"/>
        <v>3.3534390789337419E-4</v>
      </c>
      <c r="L167">
        <f t="shared" si="37"/>
        <v>9.7583559184111668E-4</v>
      </c>
      <c r="M167" s="3">
        <f t="shared" si="30"/>
        <v>1.2421631582548768E-3</v>
      </c>
      <c r="N167" t="str">
        <f t="shared" ca="1" si="31"/>
        <v>wait</v>
      </c>
      <c r="O167">
        <f t="shared" si="38"/>
        <v>1.688548181098648E-3</v>
      </c>
      <c r="P167">
        <f t="shared" si="39"/>
        <v>2.3132101381562187E-3</v>
      </c>
      <c r="Q167">
        <f t="shared" si="40"/>
        <v>-3.4697606793674396E-3</v>
      </c>
      <c r="R167">
        <f t="shared" si="35"/>
        <v>-2.3226933834797903E-3</v>
      </c>
      <c r="S167" s="3">
        <f t="shared" si="41"/>
        <v>-1.0165739654990915E-3</v>
      </c>
      <c r="T167" s="3">
        <f t="shared" si="32"/>
        <v>7.4653104961932204E-4</v>
      </c>
      <c r="V167" t="str">
        <f t="shared" si="33"/>
        <v>1-11</v>
      </c>
    </row>
    <row r="168" spans="1:22">
      <c r="A168" s="1">
        <v>45533</v>
      </c>
      <c r="B168" t="s">
        <v>7</v>
      </c>
      <c r="C168">
        <v>560.30999759999997</v>
      </c>
      <c r="D168">
        <v>563.67999269999996</v>
      </c>
      <c r="E168">
        <v>557.17999269999996</v>
      </c>
      <c r="F168">
        <v>558.34997559999999</v>
      </c>
      <c r="G168">
        <v>38715200</v>
      </c>
      <c r="H168">
        <f t="shared" si="36"/>
        <v>559.79998780000005</v>
      </c>
      <c r="I168">
        <f t="shared" si="42"/>
        <v>545.10549926500005</v>
      </c>
      <c r="J168" s="4">
        <f t="shared" si="29"/>
        <v>545.86096781774188</v>
      </c>
      <c r="K168">
        <f t="shared" si="34"/>
        <v>7.4791169305999077E-4</v>
      </c>
      <c r="L168">
        <f t="shared" si="37"/>
        <v>1.4078909894894554E-3</v>
      </c>
      <c r="M168" s="3">
        <f t="shared" si="30"/>
        <v>9.7749186173473027E-4</v>
      </c>
      <c r="N168" t="str">
        <f t="shared" ca="1" si="31"/>
        <v>wait</v>
      </c>
      <c r="O168">
        <f t="shared" si="38"/>
        <v>9.1105718312767259E-4</v>
      </c>
      <c r="P168">
        <f t="shared" si="39"/>
        <v>-2.6795284613974069E-3</v>
      </c>
      <c r="Q168">
        <f t="shared" si="40"/>
        <v>-8.5030544904203254E-3</v>
      </c>
      <c r="R168">
        <f t="shared" si="35"/>
        <v>-5.0332938110528858E-3</v>
      </c>
      <c r="S168" s="3">
        <f t="shared" si="41"/>
        <v>-1.3839944551486518E-3</v>
      </c>
      <c r="T168" s="3">
        <f t="shared" si="32"/>
        <v>-3.6742048964956029E-4</v>
      </c>
      <c r="V168" t="str">
        <f t="shared" si="33"/>
        <v>1-1-1</v>
      </c>
    </row>
    <row r="169" spans="1:22">
      <c r="A169" s="1">
        <v>45534</v>
      </c>
      <c r="B169" t="s">
        <v>7</v>
      </c>
      <c r="C169">
        <v>560.77001949999999</v>
      </c>
      <c r="D169">
        <v>564.20001219999995</v>
      </c>
      <c r="E169">
        <v>557.14001459999997</v>
      </c>
      <c r="F169">
        <v>563.67999269999996</v>
      </c>
      <c r="G169">
        <v>62700100</v>
      </c>
      <c r="H169">
        <f t="shared" si="36"/>
        <v>560.22598877999997</v>
      </c>
      <c r="I169">
        <f t="shared" si="42"/>
        <v>545.87249755500011</v>
      </c>
      <c r="J169" s="4">
        <f t="shared" si="29"/>
        <v>546.36064492258072</v>
      </c>
      <c r="K169">
        <f t="shared" si="34"/>
        <v>-1.3448950481383649E-3</v>
      </c>
      <c r="L169">
        <f t="shared" si="37"/>
        <v>2.3878729625368719E-3</v>
      </c>
      <c r="M169" s="3">
        <f t="shared" si="30"/>
        <v>9.6469586036874153E-4</v>
      </c>
      <c r="N169" t="str">
        <f t="shared" ca="1" si="31"/>
        <v>wait</v>
      </c>
      <c r="O169">
        <f t="shared" si="38"/>
        <v>9.7109154322660984E-4</v>
      </c>
      <c r="P169">
        <f t="shared" si="39"/>
        <v>-3.3486721743940517E-3</v>
      </c>
      <c r="Q169">
        <f t="shared" si="40"/>
        <v>-5.43708457123393E-3</v>
      </c>
      <c r="R169">
        <f t="shared" si="35"/>
        <v>3.0659699191863954E-3</v>
      </c>
      <c r="S169" s="3">
        <f t="shared" si="41"/>
        <v>-8.9345265277988612E-4</v>
      </c>
      <c r="T169" s="3">
        <f t="shared" si="32"/>
        <v>4.9054180236876566E-4</v>
      </c>
      <c r="V169" t="str">
        <f t="shared" si="33"/>
        <v>1-11</v>
      </c>
    </row>
    <row r="170" spans="1:22">
      <c r="A170" s="1">
        <v>45538</v>
      </c>
      <c r="B170" t="s">
        <v>7</v>
      </c>
      <c r="C170">
        <v>560.46997069999998</v>
      </c>
      <c r="D170">
        <v>560.80999759999997</v>
      </c>
      <c r="E170">
        <v>549.51000980000003</v>
      </c>
      <c r="F170">
        <v>552.08001709999996</v>
      </c>
      <c r="G170">
        <v>60600100</v>
      </c>
      <c r="H170">
        <f t="shared" si="36"/>
        <v>560.53598634000014</v>
      </c>
      <c r="I170">
        <f t="shared" si="42"/>
        <v>547.41149596999992</v>
      </c>
      <c r="J170" s="4">
        <f t="shared" si="29"/>
        <v>546.93935467903236</v>
      </c>
      <c r="K170">
        <f t="shared" si="34"/>
        <v>1.0306941326971924E-3</v>
      </c>
      <c r="L170">
        <f t="shared" si="37"/>
        <v>4.4744662879800381E-3</v>
      </c>
      <c r="M170" s="3">
        <f t="shared" si="30"/>
        <v>1.1131291005033813E-3</v>
      </c>
      <c r="N170" t="str">
        <f t="shared" ca="1" si="31"/>
        <v>wait</v>
      </c>
      <c r="O170">
        <f t="shared" si="38"/>
        <v>-1.1777234933874059E-4</v>
      </c>
      <c r="P170">
        <f t="shared" si="39"/>
        <v>5.6089286622407197E-3</v>
      </c>
      <c r="Q170">
        <f t="shared" si="40"/>
        <v>-6.058436608457618E-3</v>
      </c>
      <c r="R170">
        <f t="shared" si="35"/>
        <v>-6.2135203722368804E-4</v>
      </c>
      <c r="S170" s="3">
        <f t="shared" si="41"/>
        <v>8.6324249101553375E-4</v>
      </c>
      <c r="T170" s="3">
        <f t="shared" si="32"/>
        <v>1.75669514379542E-3</v>
      </c>
      <c r="V170" t="str">
        <f t="shared" si="33"/>
        <v>111</v>
      </c>
    </row>
    <row r="171" spans="1:22">
      <c r="A171" s="1">
        <v>45539</v>
      </c>
      <c r="B171" t="s">
        <v>7</v>
      </c>
      <c r="C171">
        <v>550.20001219999995</v>
      </c>
      <c r="D171">
        <v>554.42999269999996</v>
      </c>
      <c r="E171">
        <v>549.46002199999998</v>
      </c>
      <c r="F171">
        <v>550.95001219999995</v>
      </c>
      <c r="G171">
        <v>47224900</v>
      </c>
      <c r="H171">
        <f t="shared" si="36"/>
        <v>558.79399416000001</v>
      </c>
      <c r="I171">
        <f t="shared" si="42"/>
        <v>549.14649657999996</v>
      </c>
      <c r="J171" s="4">
        <f t="shared" si="29"/>
        <v>547.32145149354858</v>
      </c>
      <c r="K171">
        <f t="shared" si="34"/>
        <v>-3.3763019233975476E-3</v>
      </c>
      <c r="L171">
        <f t="shared" si="37"/>
        <v>2.8660338314062477E-3</v>
      </c>
      <c r="M171" s="3">
        <f t="shared" si="30"/>
        <v>5.4270343566479163E-4</v>
      </c>
      <c r="N171" t="str">
        <f t="shared" ca="1" si="31"/>
        <v>wait</v>
      </c>
      <c r="O171">
        <f t="shared" si="38"/>
        <v>-1.5379517406801879E-2</v>
      </c>
      <c r="P171">
        <f t="shared" si="39"/>
        <v>-1.2015120295079007E-2</v>
      </c>
      <c r="Q171">
        <f t="shared" si="40"/>
        <v>-1.6614323806317888E-2</v>
      </c>
      <c r="R171">
        <f t="shared" si="35"/>
        <v>-1.055588719786027E-2</v>
      </c>
      <c r="S171" s="3">
        <f t="shared" si="41"/>
        <v>3.3345031178133801E-3</v>
      </c>
      <c r="T171" s="3">
        <f t="shared" si="32"/>
        <v>2.4712606267978466E-3</v>
      </c>
      <c r="V171" t="str">
        <f t="shared" si="33"/>
        <v>111</v>
      </c>
    </row>
    <row r="172" spans="1:22">
      <c r="A172" s="1">
        <v>45540</v>
      </c>
      <c r="B172" t="s">
        <v>7</v>
      </c>
      <c r="C172">
        <v>550.89001459999997</v>
      </c>
      <c r="D172">
        <v>553.79998780000005</v>
      </c>
      <c r="E172">
        <v>547.09997559999999</v>
      </c>
      <c r="F172">
        <v>549.60998540000003</v>
      </c>
      <c r="G172">
        <v>44264300</v>
      </c>
      <c r="H172">
        <f t="shared" si="36"/>
        <v>556.67199707999998</v>
      </c>
      <c r="I172">
        <f t="shared" si="42"/>
        <v>550.58649596999987</v>
      </c>
      <c r="J172" s="4">
        <f t="shared" si="29"/>
        <v>547.58403261129058</v>
      </c>
      <c r="K172">
        <f t="shared" si="34"/>
        <v>-2.6329843312241268E-3</v>
      </c>
      <c r="L172">
        <f t="shared" si="37"/>
        <v>3.1128331445170417E-3</v>
      </c>
      <c r="M172" s="3">
        <f t="shared" si="30"/>
        <v>5.0780059351083248E-4</v>
      </c>
      <c r="N172" t="str">
        <f t="shared" ca="1" si="31"/>
        <v>wait</v>
      </c>
      <c r="O172">
        <f t="shared" si="38"/>
        <v>-1.0386695415485536E-2</v>
      </c>
      <c r="P172">
        <f t="shared" si="39"/>
        <v>-1.0278916327773779E-2</v>
      </c>
      <c r="Q172">
        <f t="shared" si="40"/>
        <v>-1.2955519799505155E-2</v>
      </c>
      <c r="R172">
        <f t="shared" si="35"/>
        <v>3.6588040068127325E-3</v>
      </c>
      <c r="S172" s="3">
        <f t="shared" si="41"/>
        <v>5.4831097692737661E-3</v>
      </c>
      <c r="T172" s="3">
        <f t="shared" si="32"/>
        <v>2.148606651460386E-3</v>
      </c>
      <c r="V172" t="str">
        <f t="shared" si="33"/>
        <v>111</v>
      </c>
    </row>
    <row r="173" spans="1:22">
      <c r="A173" s="1">
        <v>45541</v>
      </c>
      <c r="B173" t="s">
        <v>7</v>
      </c>
      <c r="C173">
        <v>549.94000240000003</v>
      </c>
      <c r="D173">
        <v>551.59997559999999</v>
      </c>
      <c r="E173">
        <v>539.44000240000003</v>
      </c>
      <c r="F173">
        <v>540.35998540000003</v>
      </c>
      <c r="G173">
        <v>68493800</v>
      </c>
      <c r="H173">
        <f t="shared" si="36"/>
        <v>554.9339966</v>
      </c>
      <c r="I173">
        <f t="shared" si="42"/>
        <v>552.13399658499998</v>
      </c>
      <c r="J173" s="4">
        <f t="shared" si="29"/>
        <v>547.82516184193548</v>
      </c>
      <c r="K173">
        <f t="shared" si="34"/>
        <v>-3.130649442800823E-3</v>
      </c>
      <c r="L173">
        <f t="shared" si="37"/>
        <v>1.7864845122204445E-3</v>
      </c>
      <c r="M173" s="3">
        <f t="shared" si="30"/>
        <v>4.8688149765340448E-4</v>
      </c>
      <c r="N173" t="str">
        <f t="shared" ca="1" si="31"/>
        <v>wait</v>
      </c>
      <c r="O173">
        <f t="shared" si="38"/>
        <v>-8.9992579849089704E-3</v>
      </c>
      <c r="P173">
        <f t="shared" si="39"/>
        <v>-9.5939539343766755E-3</v>
      </c>
      <c r="Q173">
        <f t="shared" si="40"/>
        <v>-1.411703202182224E-2</v>
      </c>
      <c r="R173">
        <f t="shared" si="35"/>
        <v>-1.1615122223170848E-3</v>
      </c>
      <c r="S173" s="3">
        <f t="shared" si="41"/>
        <v>7.8653465433698479E-3</v>
      </c>
      <c r="T173" s="3">
        <f t="shared" si="32"/>
        <v>2.3822367740960818E-3</v>
      </c>
      <c r="V173" t="str">
        <f t="shared" si="33"/>
        <v>111</v>
      </c>
    </row>
    <row r="174" spans="1:22">
      <c r="A174" s="1">
        <v>45544</v>
      </c>
      <c r="B174" t="s">
        <v>7</v>
      </c>
      <c r="C174">
        <v>544.65002440000001</v>
      </c>
      <c r="D174">
        <v>547.71002199999998</v>
      </c>
      <c r="E174">
        <v>542.67999269999996</v>
      </c>
      <c r="F174">
        <v>546.4099731</v>
      </c>
      <c r="G174">
        <v>40445800</v>
      </c>
      <c r="H174">
        <f t="shared" si="36"/>
        <v>551.33599855999989</v>
      </c>
      <c r="I174">
        <f t="shared" si="42"/>
        <v>552.61949463499991</v>
      </c>
      <c r="J174" s="4">
        <f t="shared" si="29"/>
        <v>547.92758080322585</v>
      </c>
      <c r="K174">
        <f t="shared" si="34"/>
        <v>-8.2742008238746324E-3</v>
      </c>
      <c r="L174">
        <f t="shared" si="37"/>
        <v>6.913821399567499E-4</v>
      </c>
      <c r="M174" s="3">
        <f t="shared" si="30"/>
        <v>1.4623743095829565E-4</v>
      </c>
      <c r="N174" t="str">
        <f t="shared" ca="1" si="31"/>
        <v>wait</v>
      </c>
      <c r="O174">
        <f t="shared" si="38"/>
        <v>-1.2126859442268545E-2</v>
      </c>
      <c r="P174">
        <f t="shared" si="39"/>
        <v>-1.9908029203004052E-2</v>
      </c>
      <c r="Q174">
        <f t="shared" si="40"/>
        <v>-2.1576672285267606E-2</v>
      </c>
      <c r="R174">
        <f t="shared" si="35"/>
        <v>-7.4596402634453662E-3</v>
      </c>
      <c r="S174" s="3">
        <f t="shared" si="41"/>
        <v>8.5630181727592933E-3</v>
      </c>
      <c r="T174" s="3">
        <f t="shared" si="32"/>
        <v>6.9767162938944548E-4</v>
      </c>
      <c r="V174" t="str">
        <f t="shared" si="33"/>
        <v>111</v>
      </c>
    </row>
    <row r="175" spans="1:22">
      <c r="A175" s="1">
        <v>45545</v>
      </c>
      <c r="B175" t="s">
        <v>7</v>
      </c>
      <c r="C175">
        <v>548.35998540000003</v>
      </c>
      <c r="D175">
        <v>549.15002440000001</v>
      </c>
      <c r="E175">
        <v>543.38000490000002</v>
      </c>
      <c r="F175">
        <v>548.78997800000002</v>
      </c>
      <c r="G175">
        <v>36394600</v>
      </c>
      <c r="H175">
        <f t="shared" si="36"/>
        <v>547.88199464000002</v>
      </c>
      <c r="I175">
        <f t="shared" si="42"/>
        <v>553.29049378000013</v>
      </c>
      <c r="J175" s="4">
        <f t="shared" si="29"/>
        <v>548.10096790000011</v>
      </c>
      <c r="K175">
        <f t="shared" si="34"/>
        <v>-2.0540660137579039E-3</v>
      </c>
      <c r="L175">
        <f t="shared" si="37"/>
        <v>1.2320169069620847E-3</v>
      </c>
      <c r="M175" s="3">
        <f t="shared" si="30"/>
        <v>2.9363257550550984E-4</v>
      </c>
      <c r="N175" t="str">
        <f t="shared" ca="1" si="31"/>
        <v>wait</v>
      </c>
      <c r="O175">
        <f t="shared" si="38"/>
        <v>8.7243378077084266E-4</v>
      </c>
      <c r="P175">
        <f t="shared" si="39"/>
        <v>-2.6867492533081405E-3</v>
      </c>
      <c r="Q175">
        <f t="shared" si="40"/>
        <v>-9.494748852657886E-3</v>
      </c>
      <c r="R175">
        <f t="shared" si="35"/>
        <v>1.208192343260972E-2</v>
      </c>
      <c r="S175" s="3">
        <f t="shared" si="41"/>
        <v>9.4681932416270376E-3</v>
      </c>
      <c r="T175" s="3">
        <f t="shared" si="32"/>
        <v>9.0517506886774422E-4</v>
      </c>
      <c r="V175" t="str">
        <f t="shared" si="33"/>
        <v>111</v>
      </c>
    </row>
    <row r="176" spans="1:22">
      <c r="A176" s="1">
        <v>45546</v>
      </c>
      <c r="B176" t="s">
        <v>7</v>
      </c>
      <c r="C176">
        <v>548.70001219999995</v>
      </c>
      <c r="D176">
        <v>555.35998540000003</v>
      </c>
      <c r="E176">
        <v>539.96002199999998</v>
      </c>
      <c r="F176">
        <v>554.41998290000004</v>
      </c>
      <c r="G176">
        <v>75248600</v>
      </c>
      <c r="H176">
        <f t="shared" si="36"/>
        <v>547.22398682000005</v>
      </c>
      <c r="I176">
        <f t="shared" si="42"/>
        <v>554.06649170500009</v>
      </c>
      <c r="J176" s="4">
        <f t="shared" si="29"/>
        <v>548.29193509032268</v>
      </c>
      <c r="K176">
        <f t="shared" si="34"/>
        <v>-7.8411258813651313E-4</v>
      </c>
      <c r="L176">
        <f t="shared" si="37"/>
        <v>6.2264780034361228E-4</v>
      </c>
      <c r="M176" s="3">
        <f t="shared" si="30"/>
        <v>2.287446677620659E-4</v>
      </c>
      <c r="N176" t="str">
        <f t="shared" ca="1" si="31"/>
        <v>wait</v>
      </c>
      <c r="O176">
        <f t="shared" si="38"/>
        <v>2.6972965651181902E-3</v>
      </c>
      <c r="P176">
        <f t="shared" si="39"/>
        <v>2.8617005425879416E-3</v>
      </c>
      <c r="Q176">
        <f t="shared" si="40"/>
        <v>-7.0245128367599774E-3</v>
      </c>
      <c r="R176">
        <f t="shared" si="35"/>
        <v>2.4702360158979086E-3</v>
      </c>
      <c r="S176" s="3">
        <f t="shared" si="41"/>
        <v>1.0531901428982606E-2</v>
      </c>
      <c r="T176" s="3">
        <f t="shared" si="32"/>
        <v>1.0637081873555686E-3</v>
      </c>
      <c r="V176" t="str">
        <f t="shared" si="33"/>
        <v>111</v>
      </c>
    </row>
    <row r="177" spans="1:22">
      <c r="A177" s="1">
        <v>45547</v>
      </c>
      <c r="B177" t="s">
        <v>7</v>
      </c>
      <c r="C177">
        <v>555.01000980000003</v>
      </c>
      <c r="D177">
        <v>559.40002440000001</v>
      </c>
      <c r="E177">
        <v>552.73999019999997</v>
      </c>
      <c r="F177">
        <v>559.0900269</v>
      </c>
      <c r="G177">
        <v>51819600</v>
      </c>
      <c r="H177">
        <f t="shared" si="36"/>
        <v>547.91798096000002</v>
      </c>
      <c r="I177">
        <f t="shared" si="42"/>
        <v>554.68549195000014</v>
      </c>
      <c r="J177" s="4">
        <f t="shared" si="29"/>
        <v>548.50258021129036</v>
      </c>
      <c r="K177">
        <f t="shared" si="34"/>
        <v>1.75033119039835E-3</v>
      </c>
      <c r="L177">
        <f t="shared" si="37"/>
        <v>9.811478528735664E-4</v>
      </c>
      <c r="M177" s="3">
        <f t="shared" si="30"/>
        <v>3.6777492336586621E-4</v>
      </c>
      <c r="N177" t="str">
        <f t="shared" ca="1" si="31"/>
        <v>wait</v>
      </c>
      <c r="O177">
        <f t="shared" si="38"/>
        <v>1.294359573229209E-2</v>
      </c>
      <c r="P177">
        <f t="shared" si="39"/>
        <v>1.1866743136642377E-2</v>
      </c>
      <c r="Q177">
        <f t="shared" si="40"/>
        <v>-1.4523996723117216E-2</v>
      </c>
      <c r="R177">
        <f t="shared" si="35"/>
        <v>-7.4994838863572388E-3</v>
      </c>
      <c r="S177" s="3">
        <f t="shared" si="41"/>
        <v>1.1272347591014135E-2</v>
      </c>
      <c r="T177" s="3">
        <f t="shared" si="32"/>
        <v>7.4044616203152933E-4</v>
      </c>
      <c r="V177" t="str">
        <f t="shared" si="33"/>
        <v>111</v>
      </c>
    </row>
    <row r="178" spans="1:22">
      <c r="A178" s="1">
        <v>45548</v>
      </c>
      <c r="B178" t="s">
        <v>7</v>
      </c>
      <c r="C178">
        <v>559.71002199999998</v>
      </c>
      <c r="D178">
        <v>563.03002930000002</v>
      </c>
      <c r="E178">
        <v>559.45001219999995</v>
      </c>
      <c r="F178">
        <v>562.01000980000003</v>
      </c>
      <c r="G178">
        <v>39310500</v>
      </c>
      <c r="H178">
        <f t="shared" si="36"/>
        <v>549.81398925999997</v>
      </c>
      <c r="I178">
        <f t="shared" si="42"/>
        <v>555.45249329500007</v>
      </c>
      <c r="J178" s="4">
        <f t="shared" si="29"/>
        <v>548.77096754516128</v>
      </c>
      <c r="K178">
        <f t="shared" si="34"/>
        <v>6.9324309741903289E-3</v>
      </c>
      <c r="L178">
        <f t="shared" si="37"/>
        <v>5.4423667171799234E-4</v>
      </c>
      <c r="M178" s="3">
        <f t="shared" si="30"/>
        <v>5.0081668200634534E-4</v>
      </c>
      <c r="N178" t="str">
        <f t="shared" ca="1" si="31"/>
        <v>wait</v>
      </c>
      <c r="O178">
        <f t="shared" si="38"/>
        <v>1.7998874043418267E-2</v>
      </c>
      <c r="P178">
        <f t="shared" si="39"/>
        <v>1.6871228854116183E-2</v>
      </c>
      <c r="Q178">
        <f t="shared" si="40"/>
        <v>5.321801549535099E-3</v>
      </c>
      <c r="R178">
        <f t="shared" si="35"/>
        <v>1.9845798272652315E-2</v>
      </c>
      <c r="S178" s="3">
        <f t="shared" si="41"/>
        <v>1.2175435919519422E-2</v>
      </c>
      <c r="T178" s="3">
        <f t="shared" si="32"/>
        <v>9.0308832850528702E-4</v>
      </c>
      <c r="V178" t="str">
        <f t="shared" si="33"/>
        <v>111</v>
      </c>
    </row>
    <row r="179" spans="1:22">
      <c r="A179" s="1">
        <v>45551</v>
      </c>
      <c r="B179" t="s">
        <v>7</v>
      </c>
      <c r="C179">
        <v>561.73999019999997</v>
      </c>
      <c r="D179">
        <v>563.10998540000003</v>
      </c>
      <c r="E179">
        <v>559.90002440000001</v>
      </c>
      <c r="F179">
        <v>562.8400269</v>
      </c>
      <c r="G179">
        <v>36656100</v>
      </c>
      <c r="H179">
        <f t="shared" si="36"/>
        <v>554.14399414000002</v>
      </c>
      <c r="I179">
        <f t="shared" si="42"/>
        <v>555.89949342000023</v>
      </c>
      <c r="J179" s="4">
        <f t="shared" si="29"/>
        <v>549.0811285209677</v>
      </c>
      <c r="K179">
        <f t="shared" si="34"/>
        <v>5.7100117011023247E-3</v>
      </c>
      <c r="L179">
        <f t="shared" si="37"/>
        <v>6.9455830071069068E-4</v>
      </c>
      <c r="M179" s="3">
        <f t="shared" si="30"/>
        <v>4.5421418585784467E-4</v>
      </c>
      <c r="N179" t="str">
        <f t="shared" ca="1" si="31"/>
        <v>wait</v>
      </c>
      <c r="O179">
        <f t="shared" si="38"/>
        <v>1.3707621376982448E-2</v>
      </c>
      <c r="P179">
        <f t="shared" si="39"/>
        <v>1.4194894726248242E-2</v>
      </c>
      <c r="Q179">
        <f t="shared" si="40"/>
        <v>9.5751611785210855E-3</v>
      </c>
      <c r="R179">
        <f t="shared" si="35"/>
        <v>4.2533596289859865E-3</v>
      </c>
      <c r="S179" s="3">
        <f t="shared" si="41"/>
        <v>1.2417773157490986E-2</v>
      </c>
      <c r="T179" s="3">
        <f t="shared" si="32"/>
        <v>2.4233723797156305E-4</v>
      </c>
      <c r="V179" t="str">
        <f t="shared" si="33"/>
        <v>111</v>
      </c>
    </row>
    <row r="180" spans="1:22">
      <c r="A180" s="1">
        <v>45552</v>
      </c>
      <c r="B180" t="s">
        <v>7</v>
      </c>
      <c r="C180">
        <v>565.09997559999999</v>
      </c>
      <c r="D180">
        <v>566.58001709999996</v>
      </c>
      <c r="E180">
        <v>560.78997800000002</v>
      </c>
      <c r="F180">
        <v>563.07000730000004</v>
      </c>
      <c r="G180">
        <v>49321000</v>
      </c>
      <c r="H180">
        <f t="shared" si="36"/>
        <v>557.43000490000009</v>
      </c>
      <c r="I180">
        <f t="shared" si="42"/>
        <v>556.32599488500011</v>
      </c>
      <c r="J180" s="4">
        <f t="shared" si="29"/>
        <v>549.33500031612891</v>
      </c>
      <c r="K180">
        <f t="shared" si="34"/>
        <v>5.1203737179034191E-3</v>
      </c>
      <c r="L180">
        <f t="shared" si="37"/>
        <v>2.8859755760891128E-4</v>
      </c>
      <c r="M180" s="3">
        <f t="shared" si="30"/>
        <v>4.3604675127457575E-4</v>
      </c>
      <c r="N180" t="str">
        <f t="shared" ca="1" si="31"/>
        <v>wait</v>
      </c>
      <c r="O180">
        <f t="shared" si="38"/>
        <v>1.3759522509693145E-2</v>
      </c>
      <c r="P180">
        <f t="shared" si="39"/>
        <v>9.7052938529393895E-3</v>
      </c>
      <c r="Q180">
        <f t="shared" si="40"/>
        <v>4.4310845815396238E-3</v>
      </c>
      <c r="R180">
        <f t="shared" si="35"/>
        <v>-5.1440765969814617E-3</v>
      </c>
      <c r="S180" s="3">
        <f t="shared" si="41"/>
        <v>1.2726286446063067E-2</v>
      </c>
      <c r="T180" s="3">
        <f t="shared" si="32"/>
        <v>3.08513288572081E-4</v>
      </c>
      <c r="V180" t="str">
        <f t="shared" si="33"/>
        <v>111</v>
      </c>
    </row>
    <row r="181" spans="1:22">
      <c r="A181" s="1">
        <v>45553</v>
      </c>
      <c r="B181" t="s">
        <v>7</v>
      </c>
      <c r="C181">
        <v>563.73999019999997</v>
      </c>
      <c r="D181">
        <v>568.69000240000003</v>
      </c>
      <c r="E181">
        <v>560.83001709999996</v>
      </c>
      <c r="F181">
        <v>561.40002440000001</v>
      </c>
      <c r="G181">
        <v>59044900</v>
      </c>
      <c r="H181">
        <f t="shared" si="36"/>
        <v>560.28601075999995</v>
      </c>
      <c r="I181">
        <f t="shared" si="42"/>
        <v>556.49899598000002</v>
      </c>
      <c r="J181" s="4">
        <f t="shared" si="29"/>
        <v>549.57016188225793</v>
      </c>
      <c r="K181">
        <f t="shared" si="34"/>
        <v>3.120386950973302E-3</v>
      </c>
      <c r="L181">
        <f t="shared" si="37"/>
        <v>3.9108600363120744E-4</v>
      </c>
      <c r="M181" s="3">
        <f t="shared" si="30"/>
        <v>4.8964068555758819E-4</v>
      </c>
      <c r="N181" t="str">
        <f t="shared" ca="1" si="31"/>
        <v>wait</v>
      </c>
      <c r="O181">
        <f t="shared" si="38"/>
        <v>6.1646719241033043E-3</v>
      </c>
      <c r="P181">
        <f t="shared" si="39"/>
        <v>4.968884617025715E-3</v>
      </c>
      <c r="Q181">
        <f t="shared" si="40"/>
        <v>8.9948210435686349E-4</v>
      </c>
      <c r="R181">
        <f t="shared" si="35"/>
        <v>-3.5316024771827603E-3</v>
      </c>
      <c r="S181" s="3">
        <f t="shared" si="41"/>
        <v>1.2607733422082226E-2</v>
      </c>
      <c r="T181" s="3">
        <f t="shared" si="32"/>
        <v>-1.1855302398084029E-4</v>
      </c>
      <c r="V181" t="str">
        <f t="shared" si="33"/>
        <v>11-1</v>
      </c>
    </row>
    <row r="182" spans="1:22">
      <c r="A182" s="1">
        <v>45554</v>
      </c>
      <c r="B182" t="s">
        <v>7</v>
      </c>
      <c r="C182">
        <v>571.01000980000003</v>
      </c>
      <c r="D182">
        <v>572.88000490000002</v>
      </c>
      <c r="E182">
        <v>568.08001709999996</v>
      </c>
      <c r="F182">
        <v>570.97998050000001</v>
      </c>
      <c r="G182">
        <v>75315500</v>
      </c>
      <c r="H182">
        <f t="shared" si="36"/>
        <v>561.6820190599999</v>
      </c>
      <c r="I182">
        <f t="shared" si="42"/>
        <v>556.63399658999992</v>
      </c>
      <c r="J182" s="4">
        <f t="shared" si="29"/>
        <v>549.80242034032244</v>
      </c>
      <c r="K182">
        <f t="shared" si="34"/>
        <v>8.2634187299255105E-4</v>
      </c>
      <c r="L182">
        <f t="shared" si="37"/>
        <v>6.9568451608730699E-5</v>
      </c>
      <c r="M182" s="3">
        <f t="shared" si="30"/>
        <v>5.169790054671881E-4</v>
      </c>
      <c r="N182" t="str">
        <f t="shared" ca="1" si="31"/>
        <v>wait</v>
      </c>
      <c r="O182">
        <f t="shared" si="38"/>
        <v>1.6607244710469704E-2</v>
      </c>
      <c r="P182">
        <f t="shared" si="39"/>
        <v>-5.0205392095659107E-4</v>
      </c>
      <c r="Q182">
        <f t="shared" si="40"/>
        <v>-1.5168759744629279E-3</v>
      </c>
      <c r="R182">
        <f t="shared" si="35"/>
        <v>-2.4163580788197914E-3</v>
      </c>
      <c r="S182" s="3">
        <f t="shared" si="41"/>
        <v>1.2425511414534702E-2</v>
      </c>
      <c r="T182" s="3">
        <f t="shared" si="32"/>
        <v>-1.8222200754752435E-4</v>
      </c>
      <c r="V182" t="str">
        <f t="shared" si="33"/>
        <v>11-1</v>
      </c>
    </row>
    <row r="183" spans="1:22">
      <c r="A183" s="1">
        <v>45555</v>
      </c>
      <c r="B183" t="s">
        <v>7</v>
      </c>
      <c r="C183">
        <v>567.8400269</v>
      </c>
      <c r="D183">
        <v>569.30999759999997</v>
      </c>
      <c r="E183">
        <v>565.16998290000004</v>
      </c>
      <c r="F183">
        <v>568.25</v>
      </c>
      <c r="G183">
        <v>77503100</v>
      </c>
      <c r="H183">
        <f t="shared" si="36"/>
        <v>564.06000978000009</v>
      </c>
      <c r="I183">
        <f t="shared" si="42"/>
        <v>557.15199586000006</v>
      </c>
      <c r="J183" s="4">
        <f t="shared" si="29"/>
        <v>550.22935535161287</v>
      </c>
      <c r="K183">
        <f t="shared" si="34"/>
        <v>3.192103536800734E-3</v>
      </c>
      <c r="L183">
        <f t="shared" si="37"/>
        <v>1.3268140823337069E-3</v>
      </c>
      <c r="M183" s="3">
        <f t="shared" si="30"/>
        <v>8.6720439528799027E-4</v>
      </c>
      <c r="N183" t="str">
        <f t="shared" ca="1" si="31"/>
        <v>wait</v>
      </c>
      <c r="O183">
        <f t="shared" si="38"/>
        <v>6.7014449782998309E-3</v>
      </c>
      <c r="P183">
        <f t="shared" si="39"/>
        <v>1.2268146296524174E-2</v>
      </c>
      <c r="Q183">
        <f t="shared" si="40"/>
        <v>7.1269142472407676E-3</v>
      </c>
      <c r="R183">
        <f t="shared" si="35"/>
        <v>8.6437902217036955E-3</v>
      </c>
      <c r="S183" s="3">
        <f t="shared" si="41"/>
        <v>1.2581372551385262E-2</v>
      </c>
      <c r="T183" s="3">
        <f t="shared" si="32"/>
        <v>1.5586113685056059E-4</v>
      </c>
      <c r="V183" t="str">
        <f t="shared" si="33"/>
        <v>111</v>
      </c>
    </row>
    <row r="184" spans="1:22">
      <c r="A184" s="1">
        <v>45558</v>
      </c>
      <c r="B184" t="s">
        <v>7</v>
      </c>
      <c r="C184">
        <v>569.3400269</v>
      </c>
      <c r="D184">
        <v>570.33001709999996</v>
      </c>
      <c r="E184">
        <v>568.09997559999999</v>
      </c>
      <c r="F184">
        <v>569.66998290000004</v>
      </c>
      <c r="G184">
        <v>44116900</v>
      </c>
      <c r="H184">
        <f t="shared" si="36"/>
        <v>565.30800782000006</v>
      </c>
      <c r="I184">
        <f t="shared" si="42"/>
        <v>557.75349732500001</v>
      </c>
      <c r="J184" s="4">
        <f t="shared" si="29"/>
        <v>550.64080712258067</v>
      </c>
      <c r="K184">
        <f t="shared" si="34"/>
        <v>1.9223839248949486E-3</v>
      </c>
      <c r="L184">
        <f t="shared" si="37"/>
        <v>5.4435762605206401E-4</v>
      </c>
      <c r="M184" s="3">
        <f t="shared" si="30"/>
        <v>7.1643087950804094E-4</v>
      </c>
      <c r="N184" t="str">
        <f t="shared" ca="1" si="31"/>
        <v>wait</v>
      </c>
      <c r="O184">
        <f t="shared" si="38"/>
        <v>7.1324287365901462E-3</v>
      </c>
      <c r="P184">
        <f t="shared" si="39"/>
        <v>5.2042287377904728E-3</v>
      </c>
      <c r="Q184">
        <f t="shared" si="40"/>
        <v>-2.4415879147421382E-4</v>
      </c>
      <c r="R184">
        <f t="shared" si="35"/>
        <v>-7.3710730387149814E-3</v>
      </c>
      <c r="S184" s="3">
        <f t="shared" si="41"/>
        <v>1.2917114224765321E-2</v>
      </c>
      <c r="T184" s="3">
        <f t="shared" si="32"/>
        <v>3.3574167338005882E-4</v>
      </c>
      <c r="V184" t="str">
        <f t="shared" si="33"/>
        <v>111</v>
      </c>
    </row>
    <row r="185" spans="1:22">
      <c r="A185" s="1">
        <v>45559</v>
      </c>
      <c r="B185" t="s">
        <v>7</v>
      </c>
      <c r="C185">
        <v>570.47998050000001</v>
      </c>
      <c r="D185">
        <v>571.35998540000003</v>
      </c>
      <c r="E185">
        <v>567.59997559999999</v>
      </c>
      <c r="F185">
        <v>571.29998780000005</v>
      </c>
      <c r="G185">
        <v>46805700</v>
      </c>
      <c r="H185">
        <f t="shared" si="36"/>
        <v>566.67399902</v>
      </c>
      <c r="I185">
        <f t="shared" si="42"/>
        <v>558.13049622500012</v>
      </c>
      <c r="J185" s="4">
        <f t="shared" si="29"/>
        <v>551.04145173225811</v>
      </c>
      <c r="K185">
        <f t="shared" si="34"/>
        <v>2.3442824211674157E-3</v>
      </c>
      <c r="L185">
        <f t="shared" si="37"/>
        <v>7.9174069155708209E-4</v>
      </c>
      <c r="M185" s="3">
        <f t="shared" si="30"/>
        <v>7.3814634213763112E-4</v>
      </c>
      <c r="N185" t="str">
        <f t="shared" ca="1" si="31"/>
        <v>wait</v>
      </c>
      <c r="O185">
        <f t="shared" si="38"/>
        <v>6.7163510000141091E-3</v>
      </c>
      <c r="P185">
        <f t="shared" si="39"/>
        <v>5.2869619661062295E-3</v>
      </c>
      <c r="Q185">
        <f t="shared" si="40"/>
        <v>2.5163966980417118E-3</v>
      </c>
      <c r="R185">
        <f t="shared" si="35"/>
        <v>2.7605554895159257E-3</v>
      </c>
      <c r="S185" s="3">
        <f t="shared" si="41"/>
        <v>1.2864811658826809E-2</v>
      </c>
      <c r="T185" s="3">
        <f t="shared" si="32"/>
        <v>-5.230256593851193E-5</v>
      </c>
      <c r="V185" t="str">
        <f t="shared" si="33"/>
        <v>11-1</v>
      </c>
    </row>
    <row r="186" spans="1:22">
      <c r="A186" s="1">
        <v>45560</v>
      </c>
      <c r="B186" t="s">
        <v>7</v>
      </c>
      <c r="C186">
        <v>571.14001459999997</v>
      </c>
      <c r="D186">
        <v>571.89001459999997</v>
      </c>
      <c r="E186">
        <v>568.9099731</v>
      </c>
      <c r="F186">
        <v>570.03997800000002</v>
      </c>
      <c r="G186">
        <v>38428600</v>
      </c>
      <c r="H186">
        <f t="shared" si="36"/>
        <v>568.31999512000004</v>
      </c>
      <c r="I186">
        <f t="shared" si="42"/>
        <v>558.65599671500001</v>
      </c>
      <c r="J186" s="4">
        <f t="shared" si="29"/>
        <v>551.45741911935477</v>
      </c>
      <c r="K186">
        <f t="shared" si="34"/>
        <v>3.5268838509868957E-3</v>
      </c>
      <c r="L186">
        <f t="shared" si="37"/>
        <v>8.6722614160792571E-4</v>
      </c>
      <c r="M186" s="3">
        <f t="shared" si="30"/>
        <v>7.604734558260052E-4</v>
      </c>
      <c r="N186" t="str">
        <f t="shared" ca="1" si="31"/>
        <v>wait</v>
      </c>
      <c r="O186">
        <f t="shared" si="38"/>
        <v>4.9620275623145638E-3</v>
      </c>
      <c r="P186">
        <f t="shared" si="39"/>
        <v>5.2435119397318264E-3</v>
      </c>
      <c r="Q186">
        <f t="shared" si="40"/>
        <v>-1.2669262496175504E-3</v>
      </c>
      <c r="R186">
        <f t="shared" si="35"/>
        <v>-3.7833229476592622E-3</v>
      </c>
      <c r="S186" s="3">
        <f t="shared" si="41"/>
        <v>1.3053732429860051E-2</v>
      </c>
      <c r="T186" s="3">
        <f t="shared" si="32"/>
        <v>1.8892077103324113E-4</v>
      </c>
      <c r="V186" t="str">
        <f t="shared" si="33"/>
        <v>111</v>
      </c>
    </row>
    <row r="187" spans="1:22">
      <c r="A187" s="1">
        <v>45561</v>
      </c>
      <c r="B187" t="s">
        <v>7</v>
      </c>
      <c r="C187">
        <v>574.38000490000002</v>
      </c>
      <c r="D187">
        <v>574.71002199999998</v>
      </c>
      <c r="E187">
        <v>569.90002440000001</v>
      </c>
      <c r="F187">
        <v>572.29998780000005</v>
      </c>
      <c r="G187">
        <v>48336000</v>
      </c>
      <c r="H187">
        <f t="shared" si="36"/>
        <v>570.04798584000002</v>
      </c>
      <c r="I187">
        <f t="shared" si="42"/>
        <v>559.07999573500024</v>
      </c>
      <c r="J187" s="4">
        <f t="shared" si="29"/>
        <v>551.83919303709683</v>
      </c>
      <c r="K187">
        <f t="shared" si="34"/>
        <v>-3.2925935482951363E-4</v>
      </c>
      <c r="L187">
        <f t="shared" si="37"/>
        <v>1.0514051994038004E-3</v>
      </c>
      <c r="M187" s="3">
        <f t="shared" si="30"/>
        <v>7.9073440551342988E-4</v>
      </c>
      <c r="N187" t="str">
        <f t="shared" ca="1" si="31"/>
        <v>wait</v>
      </c>
      <c r="O187">
        <f t="shared" si="38"/>
        <v>7.5993936784399807E-3</v>
      </c>
      <c r="P187">
        <f t="shared" si="39"/>
        <v>-1.4047659493421349E-5</v>
      </c>
      <c r="Q187">
        <f t="shared" si="40"/>
        <v>-1.9963455152343101E-3</v>
      </c>
      <c r="R187">
        <f t="shared" si="35"/>
        <v>-7.2941926561675974E-4</v>
      </c>
      <c r="S187" s="3">
        <f t="shared" si="41"/>
        <v>1.3121218625398811E-2</v>
      </c>
      <c r="T187" s="3">
        <f t="shared" si="32"/>
        <v>6.7486195538760813E-5</v>
      </c>
      <c r="V187" t="str">
        <f t="shared" si="33"/>
        <v>111</v>
      </c>
    </row>
    <row r="188" spans="1:22">
      <c r="A188" s="1">
        <v>45562</v>
      </c>
      <c r="B188" t="s">
        <v>7</v>
      </c>
      <c r="C188">
        <v>573.39001459999997</v>
      </c>
      <c r="D188">
        <v>574.21997069999998</v>
      </c>
      <c r="E188">
        <v>570.41998290000004</v>
      </c>
      <c r="F188">
        <v>571.46997069999998</v>
      </c>
      <c r="G188">
        <v>42100900</v>
      </c>
      <c r="H188">
        <f t="shared" si="36"/>
        <v>570.31198729999994</v>
      </c>
      <c r="I188">
        <f t="shared" si="42"/>
        <v>559.77999573500017</v>
      </c>
      <c r="J188" s="4">
        <f t="shared" si="29"/>
        <v>552.29209653870964</v>
      </c>
      <c r="K188">
        <f t="shared" si="34"/>
        <v>1.4254246546414619E-3</v>
      </c>
      <c r="L188">
        <f t="shared" si="37"/>
        <v>1.2492175883960098E-3</v>
      </c>
      <c r="M188" s="3">
        <f t="shared" si="30"/>
        <v>8.2394957183119549E-4</v>
      </c>
      <c r="N188" t="str">
        <f t="shared" ca="1" si="31"/>
        <v>wait</v>
      </c>
      <c r="O188">
        <f t="shared" si="38"/>
        <v>5.3970938162675175E-3</v>
      </c>
      <c r="P188">
        <f t="shared" si="39"/>
        <v>3.4858122295688965E-3</v>
      </c>
      <c r="Q188">
        <f t="shared" si="40"/>
        <v>-7.2234655622493982E-4</v>
      </c>
      <c r="R188">
        <f t="shared" si="35"/>
        <v>1.2739989590093703E-3</v>
      </c>
      <c r="S188" s="3">
        <f t="shared" si="41"/>
        <v>1.3557860493058328E-2</v>
      </c>
      <c r="T188" s="3">
        <f t="shared" si="32"/>
        <v>4.3664186765951692E-4</v>
      </c>
      <c r="V188" t="str">
        <f t="shared" si="33"/>
        <v>111</v>
      </c>
    </row>
    <row r="189" spans="1:22">
      <c r="A189" s="1">
        <v>45565</v>
      </c>
      <c r="B189" t="s">
        <v>7</v>
      </c>
      <c r="C189">
        <v>570.41998290000004</v>
      </c>
      <c r="D189">
        <v>574.38000490000002</v>
      </c>
      <c r="E189">
        <v>568.08001709999996</v>
      </c>
      <c r="F189">
        <v>573.76000980000003</v>
      </c>
      <c r="G189">
        <v>63557400</v>
      </c>
      <c r="H189">
        <f t="shared" si="36"/>
        <v>570.95598143999996</v>
      </c>
      <c r="I189">
        <f t="shared" si="42"/>
        <v>560.4359954900001</v>
      </c>
      <c r="J189" s="4">
        <f t="shared" si="29"/>
        <v>552.71354724516141</v>
      </c>
      <c r="K189">
        <f t="shared" si="34"/>
        <v>6.3194054594093297E-4</v>
      </c>
      <c r="L189">
        <f t="shared" si="37"/>
        <v>6.9099294820509775E-4</v>
      </c>
      <c r="M189" s="3">
        <f t="shared" si="30"/>
        <v>6.8183216149926324E-4</v>
      </c>
      <c r="N189" t="str">
        <f t="shared" ca="1" si="31"/>
        <v>wait</v>
      </c>
      <c r="O189">
        <f t="shared" si="38"/>
        <v>-9.3877384145812925E-4</v>
      </c>
      <c r="P189">
        <f t="shared" si="39"/>
        <v>9.0022572091053021E-4</v>
      </c>
      <c r="Q189">
        <f t="shared" si="40"/>
        <v>-9.3877384145812925E-4</v>
      </c>
      <c r="R189">
        <f t="shared" si="35"/>
        <v>-2.1642728523318944E-4</v>
      </c>
      <c r="S189" s="3">
        <f t="shared" si="41"/>
        <v>1.3971881607261061E-2</v>
      </c>
      <c r="T189" s="3">
        <f t="shared" si="32"/>
        <v>4.1402111420273287E-4</v>
      </c>
      <c r="V189" t="str">
        <f t="shared" si="33"/>
        <v>111</v>
      </c>
    </row>
    <row r="190" spans="1:22">
      <c r="A190" s="1">
        <v>45566</v>
      </c>
      <c r="B190" t="s">
        <v>7</v>
      </c>
      <c r="C190">
        <v>573.40002440000001</v>
      </c>
      <c r="D190">
        <v>574.05999759999997</v>
      </c>
      <c r="E190">
        <v>566</v>
      </c>
      <c r="F190">
        <v>568.61999509999998</v>
      </c>
      <c r="G190">
        <v>72668800</v>
      </c>
      <c r="H190">
        <f t="shared" si="36"/>
        <v>571.77398682</v>
      </c>
      <c r="I190">
        <f t="shared" si="42"/>
        <v>560.93999634500017</v>
      </c>
      <c r="J190" s="4">
        <f t="shared" si="29"/>
        <v>553.11274079354826</v>
      </c>
      <c r="K190">
        <f t="shared" si="34"/>
        <v>8.6120148872160748E-4</v>
      </c>
      <c r="L190">
        <f t="shared" si="37"/>
        <v>1.9634828311557153E-3</v>
      </c>
      <c r="M190" s="3">
        <f t="shared" si="30"/>
        <v>6.7396810014513475E-4</v>
      </c>
      <c r="N190" t="str">
        <f t="shared" ca="1" si="31"/>
        <v>wait</v>
      </c>
      <c r="O190">
        <f t="shared" si="38"/>
        <v>2.843846725247845E-3</v>
      </c>
      <c r="P190">
        <f t="shared" si="39"/>
        <v>3.4734406002721041E-3</v>
      </c>
      <c r="Q190">
        <f t="shared" si="40"/>
        <v>-6.4605417615176686E-3</v>
      </c>
      <c r="R190">
        <f t="shared" si="35"/>
        <v>-5.5217679200595393E-3</v>
      </c>
      <c r="S190" s="3">
        <f t="shared" si="41"/>
        <v>1.4151284131011311E-2</v>
      </c>
      <c r="T190" s="3">
        <f t="shared" si="32"/>
        <v>1.7940252375025015E-4</v>
      </c>
      <c r="V190" t="str">
        <f t="shared" si="33"/>
        <v>111</v>
      </c>
    </row>
    <row r="191" spans="1:22">
      <c r="A191" s="1">
        <v>45567</v>
      </c>
      <c r="B191" t="s">
        <v>7</v>
      </c>
      <c r="C191">
        <v>567.71002199999998</v>
      </c>
      <c r="D191">
        <v>569.90002440000001</v>
      </c>
      <c r="E191">
        <v>565.27001949999999</v>
      </c>
      <c r="F191">
        <v>568.85998540000003</v>
      </c>
      <c r="G191">
        <v>38097800</v>
      </c>
      <c r="H191">
        <f t="shared" si="36"/>
        <v>571.23798827999997</v>
      </c>
      <c r="I191">
        <f t="shared" si="42"/>
        <v>561.76699524500009</v>
      </c>
      <c r="J191" s="4">
        <f t="shared" ref="J191:J254" si="43">AVERAGE(F129:F190)</f>
        <v>553.38951455322581</v>
      </c>
      <c r="K191">
        <f t="shared" si="34"/>
        <v>-4.9820467153271705E-4</v>
      </c>
      <c r="L191">
        <f t="shared" si="37"/>
        <v>1.6035922051659442E-3</v>
      </c>
      <c r="M191" s="3">
        <f t="shared" si="30"/>
        <v>4.2009171510648552E-4</v>
      </c>
      <c r="N191" t="str">
        <f t="shared" ca="1" si="31"/>
        <v>wait</v>
      </c>
      <c r="O191">
        <f t="shared" si="38"/>
        <v>-6.1760008129408961E-3</v>
      </c>
      <c r="P191">
        <f t="shared" si="39"/>
        <v>-4.58301659503213E-3</v>
      </c>
      <c r="Q191">
        <f t="shared" si="40"/>
        <v>-9.1695377188963922E-3</v>
      </c>
      <c r="R191">
        <f t="shared" si="35"/>
        <v>-2.7089959573787237E-3</v>
      </c>
      <c r="S191" s="3">
        <f t="shared" si="41"/>
        <v>1.5138488300664256E-2</v>
      </c>
      <c r="T191" s="3">
        <f t="shared" si="32"/>
        <v>9.8720416965294468E-4</v>
      </c>
      <c r="V191" t="str">
        <f t="shared" si="33"/>
        <v>111</v>
      </c>
    </row>
    <row r="192" spans="1:22">
      <c r="A192" s="1">
        <v>45568</v>
      </c>
      <c r="B192" t="s">
        <v>7</v>
      </c>
      <c r="C192">
        <v>567.35998540000003</v>
      </c>
      <c r="D192">
        <v>569.79998780000005</v>
      </c>
      <c r="E192">
        <v>565.48999019999997</v>
      </c>
      <c r="F192">
        <v>567.82000730000004</v>
      </c>
      <c r="G192">
        <v>40846500</v>
      </c>
      <c r="H192">
        <f t="shared" si="36"/>
        <v>571.00198976000001</v>
      </c>
      <c r="I192">
        <f t="shared" si="42"/>
        <v>562.66249390500002</v>
      </c>
      <c r="J192" s="4">
        <f t="shared" si="43"/>
        <v>553.61886892096766</v>
      </c>
      <c r="K192">
        <f t="shared" si="34"/>
        <v>-1.2021675601370774E-3</v>
      </c>
      <c r="L192">
        <f t="shared" si="37"/>
        <v>1.7512418361531462E-3</v>
      </c>
      <c r="M192" s="3">
        <f t="shared" si="30"/>
        <v>4.0760083151556396E-4</v>
      </c>
      <c r="N192" t="str">
        <f t="shared" ca="1" si="31"/>
        <v>wait</v>
      </c>
      <c r="O192">
        <f t="shared" si="38"/>
        <v>-6.378269122198299E-3</v>
      </c>
      <c r="P192">
        <f t="shared" si="39"/>
        <v>-3.7513080486817341E-3</v>
      </c>
      <c r="Q192">
        <f t="shared" si="40"/>
        <v>-1.0038441831716316E-2</v>
      </c>
      <c r="R192">
        <f t="shared" si="35"/>
        <v>-8.6890411281992375E-4</v>
      </c>
      <c r="S192" s="3">
        <f t="shared" si="41"/>
        <v>1.6335471010333995E-2</v>
      </c>
      <c r="T192" s="3">
        <f t="shared" si="32"/>
        <v>1.1969827096697389E-3</v>
      </c>
      <c r="V192" t="str">
        <f t="shared" si="33"/>
        <v>111</v>
      </c>
    </row>
    <row r="193" spans="1:22">
      <c r="A193" s="1">
        <v>45569</v>
      </c>
      <c r="B193" t="s">
        <v>7</v>
      </c>
      <c r="C193">
        <v>572.34997559999999</v>
      </c>
      <c r="D193">
        <v>573.35998540000003</v>
      </c>
      <c r="E193">
        <v>568.09997559999999</v>
      </c>
      <c r="F193">
        <v>572.97998050000001</v>
      </c>
      <c r="G193">
        <v>42939100</v>
      </c>
      <c r="H193">
        <f t="shared" si="36"/>
        <v>570.10599366000008</v>
      </c>
      <c r="I193">
        <f t="shared" si="42"/>
        <v>563.57299500000011</v>
      </c>
      <c r="J193" s="4">
        <f t="shared" si="43"/>
        <v>553.82112663064515</v>
      </c>
      <c r="K193">
        <f t="shared" si="34"/>
        <v>-1.2773946443866691E-3</v>
      </c>
      <c r="L193">
        <f t="shared" si="37"/>
        <v>2.5409007552319781E-3</v>
      </c>
      <c r="M193" s="3">
        <f t="shared" ref="M193:M256" si="44">(F192-F131)/F131/60</f>
        <v>3.5982871680265258E-4</v>
      </c>
      <c r="N193" t="str">
        <f t="shared" ref="N193:N256" ca="1" si="45">IF(AND((F192-H193) / H193&lt;= -0.0155, G192/ AVERAGE(OFFSET(G192,-19,0,20,1)) &gt;= 1.58), "buy", "wait")</f>
        <v>wait</v>
      </c>
      <c r="O193">
        <f t="shared" si="38"/>
        <v>3.9360784923412329E-3</v>
      </c>
      <c r="P193">
        <f t="shared" si="39"/>
        <v>-4.0097567565012815E-3</v>
      </c>
      <c r="Q193">
        <f t="shared" si="40"/>
        <v>-8.0967460635977817E-3</v>
      </c>
      <c r="R193">
        <f t="shared" si="35"/>
        <v>1.9416957681185343E-3</v>
      </c>
      <c r="S193" s="3">
        <f t="shared" si="41"/>
        <v>1.7608335797306404E-2</v>
      </c>
      <c r="T193" s="3">
        <f t="shared" si="32"/>
        <v>1.2728647869724094E-3</v>
      </c>
      <c r="V193" t="str">
        <f t="shared" si="33"/>
        <v>111</v>
      </c>
    </row>
    <row r="194" spans="1:22">
      <c r="A194" s="1">
        <v>45572</v>
      </c>
      <c r="B194" t="s">
        <v>7</v>
      </c>
      <c r="C194">
        <v>571.29998780000005</v>
      </c>
      <c r="D194">
        <v>571.96002199999998</v>
      </c>
      <c r="E194">
        <v>566.63000490000002</v>
      </c>
      <c r="F194">
        <v>567.79998780000005</v>
      </c>
      <c r="G194">
        <v>49964700</v>
      </c>
      <c r="H194">
        <f t="shared" si="36"/>
        <v>570.40799562000007</v>
      </c>
      <c r="I194">
        <f t="shared" si="42"/>
        <v>565.20399475500005</v>
      </c>
      <c r="J194" s="4">
        <f t="shared" si="43"/>
        <v>554.09790039193547</v>
      </c>
      <c r="K194">
        <f t="shared" si="34"/>
        <v>-2.7190089468658669E-4</v>
      </c>
      <c r="L194">
        <f t="shared" si="37"/>
        <v>2.4313252601574822E-3</v>
      </c>
      <c r="M194" s="3">
        <f t="shared" si="44"/>
        <v>3.4620694815676507E-4</v>
      </c>
      <c r="N194" t="str">
        <f t="shared" ca="1" si="45"/>
        <v>wait</v>
      </c>
      <c r="O194">
        <f t="shared" si="38"/>
        <v>1.5637792367031444E-3</v>
      </c>
      <c r="P194">
        <f t="shared" si="39"/>
        <v>4.5090266962410919E-3</v>
      </c>
      <c r="Q194">
        <f t="shared" si="40"/>
        <v>-4.0462616893919279E-3</v>
      </c>
      <c r="R194">
        <f t="shared" si="35"/>
        <v>4.0504843742058538E-3</v>
      </c>
      <c r="S194" s="3">
        <f t="shared" si="41"/>
        <v>2.0043559730525604E-2</v>
      </c>
      <c r="T194" s="3">
        <f t="shared" ref="T194:T257" si="46">S194-S193</f>
        <v>2.4352239332192001E-3</v>
      </c>
      <c r="V194" t="str">
        <f t="shared" ref="V194:V257" si="47">SIGN(M194)&amp;SIGN(S194)&amp;SIGN(T194)</f>
        <v>111</v>
      </c>
    </row>
    <row r="195" spans="1:22">
      <c r="A195" s="1">
        <v>45573</v>
      </c>
      <c r="B195" t="s">
        <v>7</v>
      </c>
      <c r="C195">
        <v>570.41998290000004</v>
      </c>
      <c r="D195">
        <v>573.78002930000002</v>
      </c>
      <c r="E195">
        <v>569.53002930000002</v>
      </c>
      <c r="F195">
        <v>573.16998290000004</v>
      </c>
      <c r="G195">
        <v>37398700</v>
      </c>
      <c r="H195">
        <f t="shared" si="36"/>
        <v>569.21599122000009</v>
      </c>
      <c r="I195">
        <f t="shared" si="42"/>
        <v>566.27349549000007</v>
      </c>
      <c r="J195" s="4">
        <f t="shared" si="43"/>
        <v>554.20241620645163</v>
      </c>
      <c r="K195">
        <f t="shared" si="34"/>
        <v>-2.8842014247343491E-4</v>
      </c>
      <c r="L195">
        <f t="shared" si="37"/>
        <v>1.7319931633299646E-3</v>
      </c>
      <c r="M195" s="3">
        <f t="shared" si="44"/>
        <v>3.3903607487158118E-4</v>
      </c>
      <c r="N195" t="str">
        <f t="shared" ca="1" si="45"/>
        <v>wait</v>
      </c>
      <c r="O195">
        <f t="shared" si="38"/>
        <v>2.1151754317714211E-3</v>
      </c>
      <c r="P195">
        <f t="shared" si="39"/>
        <v>-2.4876381581711016E-3</v>
      </c>
      <c r="Q195">
        <f t="shared" si="40"/>
        <v>-4.543066884782232E-3</v>
      </c>
      <c r="R195">
        <f t="shared" si="35"/>
        <v>-4.968051953903041E-4</v>
      </c>
      <c r="S195" s="3">
        <f t="shared" si="41"/>
        <v>2.178099360550554E-2</v>
      </c>
      <c r="T195" s="3">
        <f t="shared" si="46"/>
        <v>1.7374338749799358E-3</v>
      </c>
      <c r="V195" t="str">
        <f t="shared" si="47"/>
        <v>111</v>
      </c>
    </row>
    <row r="196" spans="1:22">
      <c r="A196" s="1">
        <v>45574</v>
      </c>
      <c r="B196" t="s">
        <v>7</v>
      </c>
      <c r="C196">
        <v>573.1599731</v>
      </c>
      <c r="D196">
        <v>577.71002199999998</v>
      </c>
      <c r="E196">
        <v>572.54998780000005</v>
      </c>
      <c r="F196">
        <v>577.14001459999997</v>
      </c>
      <c r="G196">
        <v>37912200</v>
      </c>
      <c r="H196">
        <f t="shared" si="36"/>
        <v>570.12598878000006</v>
      </c>
      <c r="I196">
        <f t="shared" si="42"/>
        <v>567.49249573500015</v>
      </c>
      <c r="J196" s="4">
        <f t="shared" si="43"/>
        <v>554.4716097935484</v>
      </c>
      <c r="K196">
        <f t="shared" si="34"/>
        <v>1.5153104843433089E-3</v>
      </c>
      <c r="L196">
        <f t="shared" si="37"/>
        <v>1.6909563668615017E-3</v>
      </c>
      <c r="M196" s="3">
        <f t="shared" si="44"/>
        <v>3.9226869916290371E-4</v>
      </c>
      <c r="N196" t="str">
        <f t="shared" ca="1" si="45"/>
        <v>wait</v>
      </c>
      <c r="O196">
        <f t="shared" si="38"/>
        <v>5.3216032591187901E-3</v>
      </c>
      <c r="P196">
        <f t="shared" si="39"/>
        <v>5.3391604310368823E-3</v>
      </c>
      <c r="Q196">
        <f t="shared" si="40"/>
        <v>-1.04531189899848E-3</v>
      </c>
      <c r="R196">
        <f t="shared" si="35"/>
        <v>3.497754985783752E-3</v>
      </c>
      <c r="S196" s="3">
        <f t="shared" si="41"/>
        <v>2.3483413237875138E-2</v>
      </c>
      <c r="T196" s="3">
        <f t="shared" si="46"/>
        <v>1.7024196323695978E-3</v>
      </c>
      <c r="V196" t="str">
        <f t="shared" si="47"/>
        <v>111</v>
      </c>
    </row>
    <row r="197" spans="1:22">
      <c r="A197" s="1">
        <v>45575</v>
      </c>
      <c r="B197" t="s">
        <v>7</v>
      </c>
      <c r="C197">
        <v>575.77001949999999</v>
      </c>
      <c r="D197">
        <v>577.58001709999996</v>
      </c>
      <c r="E197">
        <v>574.48999019999997</v>
      </c>
      <c r="F197">
        <v>576.13000490000002</v>
      </c>
      <c r="G197">
        <v>44138100</v>
      </c>
      <c r="H197">
        <f t="shared" si="36"/>
        <v>571.78199461999998</v>
      </c>
      <c r="I197">
        <f t="shared" si="42"/>
        <v>568.62849732000018</v>
      </c>
      <c r="J197" s="4">
        <f t="shared" si="43"/>
        <v>554.74822309032265</v>
      </c>
      <c r="K197">
        <f t="shared" si="34"/>
        <v>3.282732971779851E-3</v>
      </c>
      <c r="L197">
        <f t="shared" si="37"/>
        <v>1.6142290893724376E-3</v>
      </c>
      <c r="M197" s="3">
        <f t="shared" si="44"/>
        <v>4.6331702329613204E-4</v>
      </c>
      <c r="N197" t="str">
        <f t="shared" ca="1" si="45"/>
        <v>wait</v>
      </c>
      <c r="O197">
        <f t="shared" si="38"/>
        <v>6.9747297353257576E-3</v>
      </c>
      <c r="P197">
        <f t="shared" si="39"/>
        <v>9.3707392509987386E-3</v>
      </c>
      <c r="Q197">
        <f t="shared" si="40"/>
        <v>1.3431573348343662E-3</v>
      </c>
      <c r="R197">
        <f t="shared" si="35"/>
        <v>2.3884692338328462E-3</v>
      </c>
      <c r="S197" s="3">
        <f t="shared" si="41"/>
        <v>2.5020853879179662E-2</v>
      </c>
      <c r="T197" s="3">
        <f t="shared" si="46"/>
        <v>1.5374406413045244E-3</v>
      </c>
      <c r="V197" t="str">
        <f t="shared" si="47"/>
        <v>111</v>
      </c>
    </row>
    <row r="198" spans="1:22">
      <c r="A198" s="1">
        <v>45576</v>
      </c>
      <c r="B198" t="s">
        <v>7</v>
      </c>
      <c r="C198">
        <v>576.04998780000005</v>
      </c>
      <c r="D198">
        <v>580.33001709999996</v>
      </c>
      <c r="E198">
        <v>575.9099731</v>
      </c>
      <c r="F198">
        <v>579.58001709999996</v>
      </c>
      <c r="G198">
        <v>42268000</v>
      </c>
      <c r="H198">
        <f t="shared" si="36"/>
        <v>573.44399414000009</v>
      </c>
      <c r="I198">
        <f t="shared" si="42"/>
        <v>569.48049622000008</v>
      </c>
      <c r="J198" s="4">
        <f t="shared" si="43"/>
        <v>554.98370656774205</v>
      </c>
      <c r="K198">
        <f t="shared" si="34"/>
        <v>1.0995233715674318E-3</v>
      </c>
      <c r="L198">
        <f t="shared" si="37"/>
        <v>1.2562049477574965E-3</v>
      </c>
      <c r="M198" s="3">
        <f t="shared" si="44"/>
        <v>3.3253135854599542E-4</v>
      </c>
      <c r="N198" t="str">
        <f t="shared" ca="1" si="45"/>
        <v>wait</v>
      </c>
      <c r="O198">
        <f t="shared" si="38"/>
        <v>4.5444606389297704E-3</v>
      </c>
      <c r="P198">
        <f t="shared" si="39"/>
        <v>4.6839984156223924E-3</v>
      </c>
      <c r="Q198">
        <f t="shared" si="40"/>
        <v>1.824059665266109E-3</v>
      </c>
      <c r="R198">
        <f t="shared" si="35"/>
        <v>4.809023304317428E-4</v>
      </c>
      <c r="S198" s="3">
        <f t="shared" si="41"/>
        <v>2.6121108567154903E-2</v>
      </c>
      <c r="T198" s="3">
        <f t="shared" si="46"/>
        <v>1.1002546879752412E-3</v>
      </c>
      <c r="V198" t="str">
        <f t="shared" si="47"/>
        <v>111</v>
      </c>
    </row>
    <row r="199" spans="1:22">
      <c r="A199" s="1">
        <v>45579</v>
      </c>
      <c r="B199" t="s">
        <v>7</v>
      </c>
      <c r="C199">
        <v>581.21997069999998</v>
      </c>
      <c r="D199">
        <v>585.27001949999999</v>
      </c>
      <c r="E199">
        <v>580.72998050000001</v>
      </c>
      <c r="F199">
        <v>584.32000730000004</v>
      </c>
      <c r="G199">
        <v>36217200</v>
      </c>
      <c r="H199">
        <f t="shared" si="36"/>
        <v>574.76400146000003</v>
      </c>
      <c r="I199">
        <f t="shared" si="42"/>
        <v>570.358996585</v>
      </c>
      <c r="J199" s="4">
        <f t="shared" si="43"/>
        <v>555.22112643387095</v>
      </c>
      <c r="K199">
        <f t="shared" si="34"/>
        <v>4.1493587717896423E-3</v>
      </c>
      <c r="L199">
        <f t="shared" si="37"/>
        <v>1.4871001883252845E-3</v>
      </c>
      <c r="M199" s="3">
        <f t="shared" si="44"/>
        <v>6.7751207797483266E-4</v>
      </c>
      <c r="N199" t="str">
        <f t="shared" ca="1" si="45"/>
        <v>wait</v>
      </c>
      <c r="O199">
        <f t="shared" si="38"/>
        <v>1.1232382723344925E-2</v>
      </c>
      <c r="P199">
        <f t="shared" si="39"/>
        <v>8.3791184342902891E-3</v>
      </c>
      <c r="Q199">
        <f t="shared" si="40"/>
        <v>1.9938124814515845E-3</v>
      </c>
      <c r="R199">
        <f t="shared" si="35"/>
        <v>1.6975281618547555E-4</v>
      </c>
      <c r="S199" s="3">
        <f t="shared" si="41"/>
        <v>2.7264578796484307E-2</v>
      </c>
      <c r="T199" s="3">
        <f t="shared" si="46"/>
        <v>1.1434702293294033E-3</v>
      </c>
      <c r="V199" t="str">
        <f t="shared" si="47"/>
        <v>111</v>
      </c>
    </row>
    <row r="200" spans="1:22">
      <c r="A200" s="1">
        <v>45580</v>
      </c>
      <c r="B200" t="s">
        <v>7</v>
      </c>
      <c r="C200">
        <v>584.5900269</v>
      </c>
      <c r="D200">
        <v>584.90002440000001</v>
      </c>
      <c r="E200">
        <v>578.53997800000002</v>
      </c>
      <c r="F200">
        <v>579.78002930000002</v>
      </c>
      <c r="G200">
        <v>54203600</v>
      </c>
      <c r="H200">
        <f t="shared" si="36"/>
        <v>578.06800536000014</v>
      </c>
      <c r="I200">
        <f t="shared" si="42"/>
        <v>571.43299560499997</v>
      </c>
      <c r="J200" s="4">
        <f t="shared" si="43"/>
        <v>555.66273941612906</v>
      </c>
      <c r="K200">
        <f t="shared" ref="K200:K263" si="48">(F199-F195)/F195/5</f>
        <v>3.8906518947784225E-3</v>
      </c>
      <c r="L200">
        <f t="shared" si="37"/>
        <v>1.8869767279824355E-3</v>
      </c>
      <c r="M200" s="3">
        <f t="shared" si="44"/>
        <v>9.5477737189262593E-4</v>
      </c>
      <c r="N200" t="str">
        <f t="shared" ca="1" si="45"/>
        <v>wait</v>
      </c>
      <c r="O200">
        <f t="shared" si="38"/>
        <v>1.1282446839343985E-2</v>
      </c>
      <c r="P200">
        <f t="shared" si="39"/>
        <v>1.0815339859721718E-2</v>
      </c>
      <c r="Q200">
        <f t="shared" si="40"/>
        <v>4.6049515200934366E-3</v>
      </c>
      <c r="R200">
        <f t="shared" si="35"/>
        <v>2.611139038641852E-3</v>
      </c>
      <c r="S200" s="3">
        <f t="shared" si="41"/>
        <v>2.8380985569487257E-2</v>
      </c>
      <c r="T200" s="3">
        <f t="shared" si="46"/>
        <v>1.1164067730029502E-3</v>
      </c>
      <c r="V200" t="str">
        <f t="shared" si="47"/>
        <v>111</v>
      </c>
    </row>
    <row r="201" spans="1:22">
      <c r="A201" s="1">
        <v>45581</v>
      </c>
      <c r="B201" t="s">
        <v>7</v>
      </c>
      <c r="C201">
        <v>579.78002930000002</v>
      </c>
      <c r="D201">
        <v>582.83001709999996</v>
      </c>
      <c r="E201">
        <v>578.96002199999998</v>
      </c>
      <c r="F201">
        <v>582.29998780000005</v>
      </c>
      <c r="G201">
        <v>30725400</v>
      </c>
      <c r="H201">
        <f t="shared" si="36"/>
        <v>579.39001463999989</v>
      </c>
      <c r="I201">
        <f t="shared" si="42"/>
        <v>572.26849670500008</v>
      </c>
      <c r="J201" s="4">
        <f t="shared" si="43"/>
        <v>556.10015967741936</v>
      </c>
      <c r="K201">
        <f t="shared" si="48"/>
        <v>9.1486108507994341E-4</v>
      </c>
      <c r="L201">
        <f t="shared" si="37"/>
        <v>1.6369793463799516E-3</v>
      </c>
      <c r="M201" s="3">
        <f t="shared" si="44"/>
        <v>9.3474804184751114E-4</v>
      </c>
      <c r="N201" t="str">
        <f t="shared" ca="1" si="45"/>
        <v>wait</v>
      </c>
      <c r="O201">
        <f t="shared" si="38"/>
        <v>6.7314701694076717E-4</v>
      </c>
      <c r="P201">
        <f t="shared" si="39"/>
        <v>6.7314701694076717E-4</v>
      </c>
      <c r="Q201">
        <f t="shared" si="40"/>
        <v>-1.4671233858388755E-3</v>
      </c>
      <c r="R201">
        <f t="shared" ref="R201:R264" si="49">Q201-Q200</f>
        <v>-6.072074905932312E-3</v>
      </c>
      <c r="S201" s="3">
        <f t="shared" si="41"/>
        <v>2.9074505277897407E-2</v>
      </c>
      <c r="T201" s="3">
        <f t="shared" si="46"/>
        <v>6.9351970841015007E-4</v>
      </c>
      <c r="V201" t="str">
        <f t="shared" si="47"/>
        <v>111</v>
      </c>
    </row>
    <row r="202" spans="1:22">
      <c r="A202" s="1">
        <v>45582</v>
      </c>
      <c r="B202" t="s">
        <v>7</v>
      </c>
      <c r="C202">
        <v>585.9099731</v>
      </c>
      <c r="D202">
        <v>586.11999509999998</v>
      </c>
      <c r="E202">
        <v>582.1599731</v>
      </c>
      <c r="F202">
        <v>582.34997559999999</v>
      </c>
      <c r="G202">
        <v>34393700</v>
      </c>
      <c r="H202">
        <f t="shared" si="36"/>
        <v>580.42200928</v>
      </c>
      <c r="I202">
        <f t="shared" si="42"/>
        <v>573.31349487500006</v>
      </c>
      <c r="J202" s="4">
        <f t="shared" si="43"/>
        <v>556.63741770322576</v>
      </c>
      <c r="K202">
        <f t="shared" si="48"/>
        <v>2.1418717468363662E-3</v>
      </c>
      <c r="L202">
        <f t="shared" si="37"/>
        <v>9.912788264561617E-4</v>
      </c>
      <c r="M202" s="3">
        <f t="shared" si="44"/>
        <v>8.3085315615346093E-4</v>
      </c>
      <c r="N202" t="str">
        <f t="shared" ca="1" si="45"/>
        <v>wait</v>
      </c>
      <c r="O202">
        <f t="shared" si="38"/>
        <v>9.4551270149243472E-3</v>
      </c>
      <c r="P202">
        <f t="shared" si="39"/>
        <v>3.2355398140908598E-3</v>
      </c>
      <c r="Q202">
        <f t="shared" si="40"/>
        <v>-2.5188350142227867E-3</v>
      </c>
      <c r="R202">
        <f t="shared" si="49"/>
        <v>-1.0517116283839112E-3</v>
      </c>
      <c r="S202" s="3">
        <f t="shared" si="41"/>
        <v>2.9958598975581688E-2</v>
      </c>
      <c r="T202" s="3">
        <f t="shared" si="46"/>
        <v>8.8409369768428087E-4</v>
      </c>
      <c r="V202" t="str">
        <f t="shared" si="47"/>
        <v>111</v>
      </c>
    </row>
    <row r="203" spans="1:22">
      <c r="A203" s="1">
        <v>45583</v>
      </c>
      <c r="B203" t="s">
        <v>7</v>
      </c>
      <c r="C203">
        <v>584.07000730000004</v>
      </c>
      <c r="D203">
        <v>585.39001459999997</v>
      </c>
      <c r="E203">
        <v>582.58001709999996</v>
      </c>
      <c r="F203">
        <v>584.5900269</v>
      </c>
      <c r="G203">
        <v>37416800</v>
      </c>
      <c r="H203">
        <f t="shared" si="36"/>
        <v>581.66600342000004</v>
      </c>
      <c r="I203">
        <f t="shared" si="42"/>
        <v>573.88199462999989</v>
      </c>
      <c r="J203" s="4">
        <f t="shared" si="43"/>
        <v>557.08419110967725</v>
      </c>
      <c r="K203">
        <f t="shared" si="48"/>
        <v>9.5585024268430034E-4</v>
      </c>
      <c r="L203">
        <f t="shared" si="37"/>
        <v>1.2406489749230087E-3</v>
      </c>
      <c r="M203" s="3">
        <f t="shared" si="44"/>
        <v>8.5984641278696644E-4</v>
      </c>
      <c r="N203" t="str">
        <f t="shared" ca="1" si="45"/>
        <v>wait</v>
      </c>
      <c r="O203">
        <f t="shared" si="38"/>
        <v>4.1329626725050694E-3</v>
      </c>
      <c r="P203">
        <f t="shared" si="39"/>
        <v>1.1758847448164467E-3</v>
      </c>
      <c r="Q203">
        <f t="shared" si="40"/>
        <v>8.4923250988633292E-4</v>
      </c>
      <c r="R203">
        <f t="shared" si="49"/>
        <v>3.3680675241091196E-3</v>
      </c>
      <c r="S203" s="3">
        <f t="shared" si="41"/>
        <v>3.0153078813567588E-2</v>
      </c>
      <c r="T203" s="3">
        <f t="shared" si="46"/>
        <v>1.9447983798590029E-4</v>
      </c>
      <c r="V203" t="str">
        <f t="shared" si="47"/>
        <v>111</v>
      </c>
    </row>
    <row r="204" spans="1:22">
      <c r="A204" s="1">
        <v>45586</v>
      </c>
      <c r="B204" t="s">
        <v>7</v>
      </c>
      <c r="C204">
        <v>583.84997559999999</v>
      </c>
      <c r="D204">
        <v>584.84997559999999</v>
      </c>
      <c r="E204">
        <v>580.59997559999999</v>
      </c>
      <c r="F204">
        <v>583.63000490000002</v>
      </c>
      <c r="G204">
        <v>36439000</v>
      </c>
      <c r="H204">
        <f t="shared" si="36"/>
        <v>582.66800537999995</v>
      </c>
      <c r="I204">
        <f t="shared" si="42"/>
        <v>574.69899597500012</v>
      </c>
      <c r="J204" s="4">
        <f t="shared" si="43"/>
        <v>557.58112655483876</v>
      </c>
      <c r="K204">
        <f t="shared" si="48"/>
        <v>9.2421822503613952E-5</v>
      </c>
      <c r="L204">
        <f t="shared" si="37"/>
        <v>1.3095339800112858E-3</v>
      </c>
      <c r="M204" s="3">
        <f t="shared" si="44"/>
        <v>1.335231724104389E-3</v>
      </c>
      <c r="N204" t="str">
        <f t="shared" ca="1" si="45"/>
        <v>wait</v>
      </c>
      <c r="O204">
        <f t="shared" si="38"/>
        <v>2.0285483484359101E-3</v>
      </c>
      <c r="P204">
        <f t="shared" si="39"/>
        <v>3.2986563570562843E-3</v>
      </c>
      <c r="Q204">
        <f t="shared" si="40"/>
        <v>-1.510092869139168E-4</v>
      </c>
      <c r="R204">
        <f t="shared" si="49"/>
        <v>-1.0002417968002497E-3</v>
      </c>
      <c r="S204" s="3">
        <f t="shared" si="41"/>
        <v>3.0700231060417346E-2</v>
      </c>
      <c r="T204" s="3">
        <f t="shared" si="46"/>
        <v>5.4715224684975805E-4</v>
      </c>
      <c r="V204" t="str">
        <f t="shared" si="47"/>
        <v>111</v>
      </c>
    </row>
    <row r="205" spans="1:22">
      <c r="A205" s="1">
        <v>45587</v>
      </c>
      <c r="B205" t="s">
        <v>7</v>
      </c>
      <c r="C205">
        <v>581.04998780000005</v>
      </c>
      <c r="D205">
        <v>584.5</v>
      </c>
      <c r="E205">
        <v>580.38000490000002</v>
      </c>
      <c r="F205">
        <v>583.32000730000004</v>
      </c>
      <c r="G205">
        <v>34183800</v>
      </c>
      <c r="H205">
        <f t="shared" si="36"/>
        <v>582.53000489999999</v>
      </c>
      <c r="I205">
        <f t="shared" si="42"/>
        <v>575.39699707499994</v>
      </c>
      <c r="J205" s="4">
        <f t="shared" si="43"/>
        <v>558.264997916129</v>
      </c>
      <c r="K205">
        <f t="shared" si="48"/>
        <v>1.3280814810569721E-3</v>
      </c>
      <c r="L205">
        <f t="shared" si="37"/>
        <v>1.07911932113645E-3</v>
      </c>
      <c r="M205" s="3">
        <f t="shared" si="44"/>
        <v>1.3998017019025142E-3</v>
      </c>
      <c r="N205" t="str">
        <f t="shared" ca="1" si="45"/>
        <v>wait</v>
      </c>
      <c r="O205">
        <f t="shared" si="38"/>
        <v>-2.5406710170302604E-3</v>
      </c>
      <c r="P205">
        <f t="shared" si="39"/>
        <v>1.8883147490211805E-3</v>
      </c>
      <c r="Q205">
        <f t="shared" si="40"/>
        <v>-3.3131843574844E-3</v>
      </c>
      <c r="R205">
        <f t="shared" si="49"/>
        <v>-3.1621750705704832E-3</v>
      </c>
      <c r="S205" s="3">
        <f t="shared" si="41"/>
        <v>3.06879335491579E-2</v>
      </c>
      <c r="T205" s="3">
        <f t="shared" si="46"/>
        <v>-1.2297511259445892E-5</v>
      </c>
      <c r="V205" t="str">
        <f t="shared" si="47"/>
        <v>11-1</v>
      </c>
    </row>
    <row r="206" spans="1:22">
      <c r="A206" s="1">
        <v>45588</v>
      </c>
      <c r="B206" t="s">
        <v>7</v>
      </c>
      <c r="C206">
        <v>581.26000980000003</v>
      </c>
      <c r="D206">
        <v>581.71002199999998</v>
      </c>
      <c r="E206">
        <v>574.41998290000004</v>
      </c>
      <c r="F206">
        <v>577.98999019999997</v>
      </c>
      <c r="G206">
        <v>49314600</v>
      </c>
      <c r="H206">
        <f t="shared" si="36"/>
        <v>583.23800050000011</v>
      </c>
      <c r="I206">
        <f t="shared" si="42"/>
        <v>575.99799805000009</v>
      </c>
      <c r="J206" s="4">
        <f t="shared" si="43"/>
        <v>558.98935330645168</v>
      </c>
      <c r="K206">
        <f t="shared" si="48"/>
        <v>3.5034158384709805E-4</v>
      </c>
      <c r="L206">
        <f t="shared" si="37"/>
        <v>1.1648331531582529E-3</v>
      </c>
      <c r="M206" s="3">
        <f t="shared" si="44"/>
        <v>1.1902139424181792E-3</v>
      </c>
      <c r="N206" t="str">
        <f t="shared" ca="1" si="45"/>
        <v>wait</v>
      </c>
      <c r="O206">
        <f t="shared" si="38"/>
        <v>-3.3913954480064845E-3</v>
      </c>
      <c r="P206">
        <f t="shared" si="39"/>
        <v>1.40606064641835E-4</v>
      </c>
      <c r="Q206">
        <f t="shared" si="40"/>
        <v>-4.9002218606297721E-3</v>
      </c>
      <c r="R206">
        <f t="shared" si="49"/>
        <v>-1.5870375031453721E-3</v>
      </c>
      <c r="S206" s="3">
        <f t="shared" si="41"/>
        <v>3.0427493194532921E-2</v>
      </c>
      <c r="T206" s="3">
        <f t="shared" si="46"/>
        <v>-2.6044035462497936E-4</v>
      </c>
      <c r="V206" t="str">
        <f t="shared" si="47"/>
        <v>11-1</v>
      </c>
    </row>
    <row r="207" spans="1:22">
      <c r="A207" s="1">
        <v>45589</v>
      </c>
      <c r="B207" t="s">
        <v>7</v>
      </c>
      <c r="C207">
        <v>579.97998050000001</v>
      </c>
      <c r="D207">
        <v>580.05999759999997</v>
      </c>
      <c r="E207">
        <v>576.57000730000004</v>
      </c>
      <c r="F207">
        <v>579.23999019999997</v>
      </c>
      <c r="G207">
        <v>34979900</v>
      </c>
      <c r="H207">
        <f t="shared" si="36"/>
        <v>582.37600098000007</v>
      </c>
      <c r="I207">
        <f t="shared" si="42"/>
        <v>576.39549866000004</v>
      </c>
      <c r="J207" s="4">
        <f t="shared" si="43"/>
        <v>559.53048214193552</v>
      </c>
      <c r="K207">
        <f t="shared" si="48"/>
        <v>-1.4973763484776997E-3</v>
      </c>
      <c r="L207">
        <f t="shared" si="37"/>
        <v>4.9711711701000243E-4</v>
      </c>
      <c r="M207" s="3">
        <f t="shared" si="44"/>
        <v>1.0166550347005033E-3</v>
      </c>
      <c r="N207" t="str">
        <f t="shared" ca="1" si="45"/>
        <v>wait</v>
      </c>
      <c r="O207">
        <f t="shared" si="38"/>
        <v>-4.1142156887785664E-3</v>
      </c>
      <c r="P207">
        <f t="shared" si="39"/>
        <v>-7.5312354434583506E-3</v>
      </c>
      <c r="Q207">
        <f t="shared" si="40"/>
        <v>-1.3661308272682859E-2</v>
      </c>
      <c r="R207">
        <f t="shared" si="49"/>
        <v>-8.7610864120530874E-3</v>
      </c>
      <c r="S207" s="3">
        <f t="shared" si="41"/>
        <v>3.0141372197460353E-2</v>
      </c>
      <c r="T207" s="3">
        <f t="shared" si="46"/>
        <v>-2.8612099707256769E-4</v>
      </c>
      <c r="V207" t="str">
        <f t="shared" si="47"/>
        <v>11-1</v>
      </c>
    </row>
    <row r="208" spans="1:22">
      <c r="A208" s="1">
        <v>45590</v>
      </c>
      <c r="B208" t="s">
        <v>7</v>
      </c>
      <c r="C208">
        <v>581.51000980000003</v>
      </c>
      <c r="D208">
        <v>584.46002199999998</v>
      </c>
      <c r="E208">
        <v>578.08001709999996</v>
      </c>
      <c r="F208">
        <v>579.03997800000002</v>
      </c>
      <c r="G208">
        <v>47268200</v>
      </c>
      <c r="H208">
        <f t="shared" ref="H208:H271" si="50">AVERAGE(F203:F207)</f>
        <v>581.75400389999993</v>
      </c>
      <c r="I208">
        <f t="shared" si="42"/>
        <v>576.74249878000001</v>
      </c>
      <c r="J208" s="4">
        <f t="shared" si="43"/>
        <v>560.08661085806466</v>
      </c>
      <c r="K208">
        <f t="shared" si="48"/>
        <v>-1.830355104882831E-3</v>
      </c>
      <c r="L208">
        <f t="shared" si="37"/>
        <v>6.7982745361776448E-4</v>
      </c>
      <c r="M208" s="3">
        <f t="shared" si="44"/>
        <v>1.1451411500614996E-3</v>
      </c>
      <c r="N208" t="str">
        <f t="shared" ca="1" si="45"/>
        <v>wait</v>
      </c>
      <c r="O208">
        <f t="shared" si="38"/>
        <v>-4.194111228529307E-4</v>
      </c>
      <c r="P208">
        <f t="shared" si="39"/>
        <v>-4.3214377265070603E-3</v>
      </c>
      <c r="Q208">
        <f t="shared" si="40"/>
        <v>-8.9109770886784956E-3</v>
      </c>
      <c r="R208">
        <f t="shared" si="49"/>
        <v>4.7503311840043638E-3</v>
      </c>
      <c r="S208" s="3">
        <f t="shared" si="41"/>
        <v>2.9738057648652179E-2</v>
      </c>
      <c r="T208" s="3">
        <f t="shared" si="46"/>
        <v>-4.0331454880817436E-4</v>
      </c>
      <c r="V208" t="str">
        <f t="shared" si="47"/>
        <v>11-1</v>
      </c>
    </row>
    <row r="209" spans="1:22">
      <c r="A209" s="1">
        <v>45593</v>
      </c>
      <c r="B209" t="s">
        <v>7</v>
      </c>
      <c r="C209">
        <v>582.58001709999996</v>
      </c>
      <c r="D209">
        <v>582.71002199999998</v>
      </c>
      <c r="E209">
        <v>580.52001949999999</v>
      </c>
      <c r="F209">
        <v>580.83001709999996</v>
      </c>
      <c r="G209">
        <v>30174700</v>
      </c>
      <c r="H209">
        <f t="shared" si="50"/>
        <v>580.64399412</v>
      </c>
      <c r="I209">
        <f t="shared" si="42"/>
        <v>577.12099914500004</v>
      </c>
      <c r="J209" s="4">
        <f t="shared" si="43"/>
        <v>560.68402985806472</v>
      </c>
      <c r="K209">
        <f t="shared" si="48"/>
        <v>-1.5729235513813103E-3</v>
      </c>
      <c r="L209">
        <f t="shared" si="37"/>
        <v>4.6011992033397943E-4</v>
      </c>
      <c r="M209" s="3">
        <f t="shared" si="44"/>
        <v>8.5419595755960201E-4</v>
      </c>
      <c r="N209" t="str">
        <f t="shared" ca="1" si="45"/>
        <v>wait</v>
      </c>
      <c r="O209">
        <f t="shared" si="38"/>
        <v>3.3342685011907847E-3</v>
      </c>
      <c r="P209">
        <f t="shared" si="39"/>
        <v>-2.7624777595968153E-3</v>
      </c>
      <c r="Q209">
        <f t="shared" si="40"/>
        <v>-4.4157470773221741E-3</v>
      </c>
      <c r="R209">
        <f t="shared" si="49"/>
        <v>4.4952300113563215E-3</v>
      </c>
      <c r="S209" s="3">
        <f t="shared" si="41"/>
        <v>2.9315922001731148E-2</v>
      </c>
      <c r="T209" s="3">
        <f t="shared" si="46"/>
        <v>-4.221356469210312E-4</v>
      </c>
      <c r="V209" t="str">
        <f t="shared" si="47"/>
        <v>11-1</v>
      </c>
    </row>
    <row r="210" spans="1:22">
      <c r="A210" s="1">
        <v>45594</v>
      </c>
      <c r="B210" t="s">
        <v>7</v>
      </c>
      <c r="C210">
        <v>579.84997559999999</v>
      </c>
      <c r="D210">
        <v>582.9099731</v>
      </c>
      <c r="E210">
        <v>578.42999269999996</v>
      </c>
      <c r="F210">
        <v>581.77001949999999</v>
      </c>
      <c r="G210">
        <v>42899700</v>
      </c>
      <c r="H210">
        <f t="shared" si="50"/>
        <v>580.08399656000006</v>
      </c>
      <c r="I210">
        <f t="shared" si="42"/>
        <v>577.47449950999999</v>
      </c>
      <c r="J210" s="4">
        <f t="shared" si="43"/>
        <v>561.16822372096806</v>
      </c>
      <c r="K210">
        <f t="shared" si="48"/>
        <v>-8.5373042886886048E-4</v>
      </c>
      <c r="L210">
        <f t="shared" si="37"/>
        <v>1.0736539433380877E-3</v>
      </c>
      <c r="M210" s="3">
        <f t="shared" si="44"/>
        <v>1.1608136933463924E-3</v>
      </c>
      <c r="N210" t="str">
        <f t="shared" ca="1" si="45"/>
        <v>wait</v>
      </c>
      <c r="O210">
        <f t="shared" si="38"/>
        <v>-4.0342598897380455E-4</v>
      </c>
      <c r="P210">
        <f t="shared" si="39"/>
        <v>1.2860560615772787E-3</v>
      </c>
      <c r="Q210">
        <f t="shared" si="40"/>
        <v>7.5165483375783104E-4</v>
      </c>
      <c r="R210">
        <f t="shared" si="49"/>
        <v>5.1674019110800051E-3</v>
      </c>
      <c r="S210" s="3">
        <f t="shared" si="41"/>
        <v>2.9057731888147614E-2</v>
      </c>
      <c r="T210" s="3">
        <f t="shared" si="46"/>
        <v>-2.5819011358353336E-4</v>
      </c>
      <c r="V210" t="str">
        <f t="shared" si="47"/>
        <v>11-1</v>
      </c>
    </row>
    <row r="211" spans="1:22">
      <c r="A211" s="1">
        <v>45595</v>
      </c>
      <c r="B211" t="s">
        <v>7</v>
      </c>
      <c r="C211">
        <v>581.28997800000002</v>
      </c>
      <c r="D211">
        <v>583.32000730000004</v>
      </c>
      <c r="E211">
        <v>579.28997800000002</v>
      </c>
      <c r="F211">
        <v>580.01000980000003</v>
      </c>
      <c r="G211">
        <v>41435800</v>
      </c>
      <c r="H211">
        <f t="shared" si="50"/>
        <v>579.773999</v>
      </c>
      <c r="I211">
        <f t="shared" si="42"/>
        <v>578.13200072999996</v>
      </c>
      <c r="J211" s="4">
        <f t="shared" si="43"/>
        <v>561.79338516774203</v>
      </c>
      <c r="K211">
        <f t="shared" si="48"/>
        <v>1.3079912677006855E-3</v>
      </c>
      <c r="L211">
        <f t="shared" si="37"/>
        <v>1.1347286178796819E-3</v>
      </c>
      <c r="M211" s="3">
        <f t="shared" si="44"/>
        <v>1.5284291256139281E-3</v>
      </c>
      <c r="N211" t="str">
        <f t="shared" ca="1" si="45"/>
        <v>wait</v>
      </c>
      <c r="O211">
        <f t="shared" si="38"/>
        <v>2.6147757619603418E-3</v>
      </c>
      <c r="P211">
        <f t="shared" si="39"/>
        <v>3.4427561488490355E-3</v>
      </c>
      <c r="Q211">
        <f t="shared" si="40"/>
        <v>-2.3181555266675868E-3</v>
      </c>
      <c r="R211">
        <f t="shared" si="49"/>
        <v>-3.0698103604254179E-3</v>
      </c>
      <c r="S211" s="3">
        <f t="shared" si="41"/>
        <v>2.9082961803438633E-2</v>
      </c>
      <c r="T211" s="3">
        <f t="shared" si="46"/>
        <v>2.5229915291018201E-5</v>
      </c>
      <c r="V211" t="str">
        <f t="shared" si="47"/>
        <v>111</v>
      </c>
    </row>
    <row r="212" spans="1:22">
      <c r="A212" s="1">
        <v>45596</v>
      </c>
      <c r="B212" t="s">
        <v>7</v>
      </c>
      <c r="C212">
        <v>575.55999759999997</v>
      </c>
      <c r="D212">
        <v>575.63000490000002</v>
      </c>
      <c r="E212">
        <v>568.44000240000003</v>
      </c>
      <c r="F212">
        <v>568.64001459999997</v>
      </c>
      <c r="G212">
        <v>60182500</v>
      </c>
      <c r="H212">
        <f t="shared" si="50"/>
        <v>580.17800292000015</v>
      </c>
      <c r="I212">
        <f t="shared" si="42"/>
        <v>578.68950195000002</v>
      </c>
      <c r="J212" s="4">
        <f t="shared" si="43"/>
        <v>562.55322364193546</v>
      </c>
      <c r="K212">
        <f t="shared" si="48"/>
        <v>2.6587238900207714E-4</v>
      </c>
      <c r="L212">
        <f t="shared" si="37"/>
        <v>1.0734037497167274E-3</v>
      </c>
      <c r="M212" s="3">
        <f t="shared" si="44"/>
        <v>2.0175372165798212E-3</v>
      </c>
      <c r="N212" t="str">
        <f t="shared" ca="1" si="45"/>
        <v>wait</v>
      </c>
      <c r="O212">
        <f t="shared" si="38"/>
        <v>-7.959635313228075E-3</v>
      </c>
      <c r="P212">
        <f t="shared" si="39"/>
        <v>-2.8955444562639432E-4</v>
      </c>
      <c r="Q212">
        <f t="shared" si="40"/>
        <v>-1.5306077023443665E-3</v>
      </c>
      <c r="R212">
        <f t="shared" si="49"/>
        <v>7.8754782432322035E-4</v>
      </c>
      <c r="S212" s="3">
        <f t="shared" si="41"/>
        <v>2.8684002917269365E-2</v>
      </c>
      <c r="T212" s="3">
        <f t="shared" si="46"/>
        <v>-3.9895888616926778E-4</v>
      </c>
      <c r="V212" t="str">
        <f t="shared" si="47"/>
        <v>11-1</v>
      </c>
    </row>
    <row r="213" spans="1:22">
      <c r="A213" s="1">
        <v>45597</v>
      </c>
      <c r="B213" t="s">
        <v>7</v>
      </c>
      <c r="C213">
        <v>571.32000730000004</v>
      </c>
      <c r="D213">
        <v>575.54998780000005</v>
      </c>
      <c r="E213">
        <v>570.61999509999998</v>
      </c>
      <c r="F213">
        <v>571.03997800000002</v>
      </c>
      <c r="G213">
        <v>45667500</v>
      </c>
      <c r="H213">
        <f t="shared" si="50"/>
        <v>578.05800780000004</v>
      </c>
      <c r="I213">
        <f t="shared" si="42"/>
        <v>578.73050231499997</v>
      </c>
      <c r="J213" s="4">
        <f t="shared" si="43"/>
        <v>563.37999799193551</v>
      </c>
      <c r="K213">
        <f t="shared" si="48"/>
        <v>-3.5921400231885359E-3</v>
      </c>
      <c r="L213">
        <f t="shared" si="37"/>
        <v>-3.7871880761111844E-4</v>
      </c>
      <c r="M213" s="3">
        <f t="shared" si="44"/>
        <v>1.4839282462743469E-3</v>
      </c>
      <c r="N213" t="str">
        <f t="shared" ca="1" si="45"/>
        <v>wait</v>
      </c>
      <c r="O213">
        <f t="shared" si="38"/>
        <v>-1.1656270493758614E-2</v>
      </c>
      <c r="P213">
        <f t="shared" si="39"/>
        <v>-1.6292470777878321E-2</v>
      </c>
      <c r="Q213">
        <f t="shared" si="40"/>
        <v>-1.6638477921281036E-2</v>
      </c>
      <c r="R213">
        <f t="shared" si="49"/>
        <v>-1.510787021893667E-2</v>
      </c>
      <c r="S213" s="3">
        <f t="shared" si="41"/>
        <v>2.72471588941363E-2</v>
      </c>
      <c r="T213" s="3">
        <f t="shared" si="46"/>
        <v>-1.4368440231330645E-3</v>
      </c>
      <c r="V213" t="str">
        <f t="shared" si="47"/>
        <v>11-1</v>
      </c>
    </row>
    <row r="214" spans="1:22">
      <c r="A214" s="1">
        <v>45600</v>
      </c>
      <c r="B214" t="s">
        <v>7</v>
      </c>
      <c r="C214">
        <v>571.17999269999996</v>
      </c>
      <c r="D214">
        <v>572.5</v>
      </c>
      <c r="E214">
        <v>567.89001459999997</v>
      </c>
      <c r="F214">
        <v>569.80999759999997</v>
      </c>
      <c r="G214">
        <v>38217000</v>
      </c>
      <c r="H214">
        <f t="shared" si="50"/>
        <v>576.4580077999999</v>
      </c>
      <c r="I214">
        <f t="shared" si="42"/>
        <v>578.63350219000006</v>
      </c>
      <c r="J214" s="4">
        <f t="shared" si="43"/>
        <v>564.16854563064521</v>
      </c>
      <c r="K214">
        <f t="shared" si="48"/>
        <v>-3.3710513615946335E-3</v>
      </c>
      <c r="L214">
        <f t="shared" si="37"/>
        <v>2.853108726326011E-4</v>
      </c>
      <c r="M214" s="3">
        <f t="shared" si="44"/>
        <v>1.6831838332323913E-3</v>
      </c>
      <c r="N214" t="str">
        <f t="shared" ca="1" si="45"/>
        <v>wait</v>
      </c>
      <c r="O214">
        <f t="shared" si="38"/>
        <v>-9.155940291545317E-3</v>
      </c>
      <c r="P214">
        <f t="shared" si="39"/>
        <v>-9.3988282349954932E-3</v>
      </c>
      <c r="Q214">
        <f t="shared" si="40"/>
        <v>-1.0127385899764252E-2</v>
      </c>
      <c r="R214">
        <f t="shared" si="49"/>
        <v>6.5110920215167845E-3</v>
      </c>
      <c r="S214" s="3">
        <f t="shared" si="41"/>
        <v>2.5639424018553649E-2</v>
      </c>
      <c r="T214" s="3">
        <f t="shared" si="46"/>
        <v>-1.6077348755826511E-3</v>
      </c>
      <c r="V214" t="str">
        <f t="shared" si="47"/>
        <v>11-1</v>
      </c>
    </row>
    <row r="215" spans="1:22">
      <c r="A215" s="1">
        <v>45601</v>
      </c>
      <c r="B215" t="s">
        <v>7</v>
      </c>
      <c r="C215">
        <v>570.73999019999997</v>
      </c>
      <c r="D215">
        <v>576.73999019999997</v>
      </c>
      <c r="E215">
        <v>570.52001949999999</v>
      </c>
      <c r="F215">
        <v>576.70001219999995</v>
      </c>
      <c r="G215">
        <v>39478300</v>
      </c>
      <c r="H215">
        <f t="shared" si="50"/>
        <v>574.25400390000004</v>
      </c>
      <c r="I215">
        <f t="shared" si="42"/>
        <v>578.73400268</v>
      </c>
      <c r="J215" s="4">
        <f t="shared" si="43"/>
        <v>564.99354602580649</v>
      </c>
      <c r="K215">
        <f t="shared" si="48"/>
        <v>-4.1115978820218373E-3</v>
      </c>
      <c r="L215">
        <f t="shared" ref="L215:L278" si="51">(F214-F195)/F195/20</f>
        <v>-2.9310548356003782E-4</v>
      </c>
      <c r="M215" s="3">
        <f t="shared" si="44"/>
        <v>1.2299372279082842E-3</v>
      </c>
      <c r="N215" t="str">
        <f t="shared" ca="1" si="45"/>
        <v>wait</v>
      </c>
      <c r="O215">
        <f t="shared" ref="O215:O278" si="52">C215/H215-1</f>
        <v>-6.1192672164842588E-3</v>
      </c>
      <c r="P215">
        <f t="shared" ref="P215:P278" si="53">F214/H215-1</f>
        <v>-7.7387467389324893E-3</v>
      </c>
      <c r="Q215">
        <f t="shared" ref="Q215:Q278" si="54">E214/H215-1</f>
        <v>-1.108218533398031E-2</v>
      </c>
      <c r="R215">
        <f t="shared" si="49"/>
        <v>-9.5479943421605817E-4</v>
      </c>
      <c r="S215" s="3">
        <f t="shared" ref="S215:S278" si="55">(I215-J215)/J215</f>
        <v>2.4319670111003184E-2</v>
      </c>
      <c r="T215" s="3">
        <f t="shared" si="46"/>
        <v>-1.3197539075504652E-3</v>
      </c>
      <c r="V215" t="str">
        <f t="shared" si="47"/>
        <v>11-1</v>
      </c>
    </row>
    <row r="216" spans="1:22">
      <c r="A216" s="1">
        <v>45602</v>
      </c>
      <c r="B216" t="s">
        <v>7</v>
      </c>
      <c r="C216">
        <v>589.20001219999995</v>
      </c>
      <c r="D216">
        <v>591.92999269999996</v>
      </c>
      <c r="E216">
        <v>585.39001459999997</v>
      </c>
      <c r="F216">
        <v>591.03997800000002</v>
      </c>
      <c r="G216">
        <v>68182000</v>
      </c>
      <c r="H216">
        <f t="shared" si="50"/>
        <v>573.24000244000001</v>
      </c>
      <c r="I216">
        <f t="shared" si="42"/>
        <v>578.910504145</v>
      </c>
      <c r="J216" s="4">
        <f t="shared" si="43"/>
        <v>565.73628776451631</v>
      </c>
      <c r="K216">
        <f t="shared" si="48"/>
        <v>-1.1413587848738841E-3</v>
      </c>
      <c r="L216">
        <f t="shared" si="51"/>
        <v>-3.8119207546627961E-5</v>
      </c>
      <c r="M216" s="3">
        <f t="shared" si="44"/>
        <v>1.3668181017682953E-3</v>
      </c>
      <c r="N216" t="str">
        <f t="shared" ca="1" si="45"/>
        <v>wait</v>
      </c>
      <c r="O216">
        <f t="shared" si="52"/>
        <v>2.7841758586396592E-2</v>
      </c>
      <c r="P216">
        <f t="shared" si="53"/>
        <v>6.0358833041525006E-3</v>
      </c>
      <c r="Q216">
        <f t="shared" si="54"/>
        <v>-4.7449287007578222E-3</v>
      </c>
      <c r="R216">
        <f t="shared" si="49"/>
        <v>6.3372566332224878E-3</v>
      </c>
      <c r="S216" s="3">
        <f t="shared" si="55"/>
        <v>2.3286850543989452E-2</v>
      </c>
      <c r="T216" s="3">
        <f t="shared" si="46"/>
        <v>-1.0328195670137319E-3</v>
      </c>
      <c r="V216" t="str">
        <f t="shared" si="47"/>
        <v>11-1</v>
      </c>
    </row>
    <row r="217" spans="1:22">
      <c r="A217" s="1">
        <v>45603</v>
      </c>
      <c r="B217" t="s">
        <v>7</v>
      </c>
      <c r="C217">
        <v>593.08001709999996</v>
      </c>
      <c r="D217">
        <v>596.65002440000001</v>
      </c>
      <c r="E217">
        <v>593</v>
      </c>
      <c r="F217">
        <v>595.60998540000003</v>
      </c>
      <c r="G217">
        <v>47233200</v>
      </c>
      <c r="H217">
        <f t="shared" si="50"/>
        <v>575.44599607999987</v>
      </c>
      <c r="I217">
        <f t="shared" si="42"/>
        <v>579.60550231499997</v>
      </c>
      <c r="J217" s="4">
        <f t="shared" si="43"/>
        <v>566.67257789032283</v>
      </c>
      <c r="K217">
        <f t="shared" si="48"/>
        <v>7.8784337453835056E-3</v>
      </c>
      <c r="L217">
        <f t="shared" si="51"/>
        <v>1.2939764439614592E-3</v>
      </c>
      <c r="M217" s="3">
        <f t="shared" si="44"/>
        <v>1.8055255432687365E-3</v>
      </c>
      <c r="N217" t="str">
        <f t="shared" ca="1" si="45"/>
        <v>wait</v>
      </c>
      <c r="O217">
        <f t="shared" si="52"/>
        <v>3.0644093694499386E-2</v>
      </c>
      <c r="P217">
        <f t="shared" si="53"/>
        <v>2.709894938226709E-2</v>
      </c>
      <c r="Q217">
        <f t="shared" si="54"/>
        <v>1.7280541680261718E-2</v>
      </c>
      <c r="R217">
        <f t="shared" si="49"/>
        <v>2.2025470381019541E-2</v>
      </c>
      <c r="S217" s="3">
        <f t="shared" si="55"/>
        <v>2.2822569732993601E-2</v>
      </c>
      <c r="T217" s="3">
        <f t="shared" si="46"/>
        <v>-4.6428081099585128E-4</v>
      </c>
      <c r="V217" t="str">
        <f t="shared" si="47"/>
        <v>11-1</v>
      </c>
    </row>
    <row r="218" spans="1:22">
      <c r="A218" s="1">
        <v>45604</v>
      </c>
      <c r="B218" t="s">
        <v>7</v>
      </c>
      <c r="C218">
        <v>596.16998290000004</v>
      </c>
      <c r="D218">
        <v>599.64001459999997</v>
      </c>
      <c r="E218">
        <v>596.16998290000004</v>
      </c>
      <c r="F218">
        <v>598.19000240000003</v>
      </c>
      <c r="G218">
        <v>46444900</v>
      </c>
      <c r="H218">
        <f t="shared" si="50"/>
        <v>580.83999023999991</v>
      </c>
      <c r="I218">
        <f t="shared" si="42"/>
        <v>580.57950134000009</v>
      </c>
      <c r="J218" s="4">
        <f t="shared" si="43"/>
        <v>567.67806121129047</v>
      </c>
      <c r="K218">
        <f t="shared" si="48"/>
        <v>8.605354562408591E-3</v>
      </c>
      <c r="L218">
        <f t="shared" si="51"/>
        <v>1.3828951850520992E-3</v>
      </c>
      <c r="M218" s="3">
        <f t="shared" si="44"/>
        <v>1.6471727047901745E-3</v>
      </c>
      <c r="N218" t="str">
        <f t="shared" ca="1" si="45"/>
        <v>wait</v>
      </c>
      <c r="O218">
        <f t="shared" si="52"/>
        <v>2.6392798219120328E-2</v>
      </c>
      <c r="P218">
        <f t="shared" si="53"/>
        <v>2.542868157872058E-2</v>
      </c>
      <c r="Q218">
        <f t="shared" si="54"/>
        <v>2.0935214455491735E-2</v>
      </c>
      <c r="R218">
        <f t="shared" si="49"/>
        <v>3.6546727752300168E-3</v>
      </c>
      <c r="S218" s="3">
        <f t="shared" si="55"/>
        <v>2.2726684383717433E-2</v>
      </c>
      <c r="T218" s="3">
        <f t="shared" si="46"/>
        <v>-9.5885349276167431E-5</v>
      </c>
      <c r="V218" t="str">
        <f t="shared" si="47"/>
        <v>11-1</v>
      </c>
    </row>
    <row r="219" spans="1:22">
      <c r="A219" s="1">
        <v>45607</v>
      </c>
      <c r="B219" t="s">
        <v>7</v>
      </c>
      <c r="C219">
        <v>599.80999759999997</v>
      </c>
      <c r="D219">
        <v>600.16998290000004</v>
      </c>
      <c r="E219">
        <v>597</v>
      </c>
      <c r="F219">
        <v>598.76000980000003</v>
      </c>
      <c r="G219">
        <v>37586800</v>
      </c>
      <c r="H219">
        <f t="shared" si="50"/>
        <v>586.26999511999998</v>
      </c>
      <c r="I219">
        <f t="shared" si="42"/>
        <v>581.51000060500007</v>
      </c>
      <c r="J219" s="4">
        <f t="shared" si="43"/>
        <v>568.58370676612924</v>
      </c>
      <c r="K219">
        <f t="shared" si="48"/>
        <v>9.9612168686174889E-3</v>
      </c>
      <c r="L219">
        <f t="shared" si="51"/>
        <v>1.1868492372946325E-3</v>
      </c>
      <c r="M219" s="3">
        <f t="shared" si="44"/>
        <v>1.6686590773946368E-3</v>
      </c>
      <c r="N219" t="str">
        <f t="shared" ca="1" si="45"/>
        <v>wait</v>
      </c>
      <c r="O219">
        <f t="shared" si="52"/>
        <v>2.309516535504863E-2</v>
      </c>
      <c r="P219">
        <f t="shared" si="53"/>
        <v>2.03319415614307E-2</v>
      </c>
      <c r="Q219">
        <f t="shared" si="54"/>
        <v>1.6886396817858085E-2</v>
      </c>
      <c r="R219">
        <f t="shared" si="49"/>
        <v>-4.0488176376336504E-3</v>
      </c>
      <c r="S219" s="3">
        <f t="shared" si="55"/>
        <v>2.2734196715537783E-2</v>
      </c>
      <c r="T219" s="3">
        <f t="shared" si="46"/>
        <v>7.5123318203501599E-6</v>
      </c>
      <c r="V219" t="str">
        <f t="shared" si="47"/>
        <v>111</v>
      </c>
    </row>
    <row r="220" spans="1:22">
      <c r="A220" s="1">
        <v>45608</v>
      </c>
      <c r="B220" t="s">
        <v>7</v>
      </c>
      <c r="C220">
        <v>598.67999269999996</v>
      </c>
      <c r="D220">
        <v>599.28997800000002</v>
      </c>
      <c r="E220">
        <v>594.36999509999998</v>
      </c>
      <c r="F220">
        <v>596.90002440000001</v>
      </c>
      <c r="G220">
        <v>43006100</v>
      </c>
      <c r="H220">
        <f t="shared" si="50"/>
        <v>592.05999756000006</v>
      </c>
      <c r="I220">
        <f t="shared" si="42"/>
        <v>582.2320007300001</v>
      </c>
      <c r="J220" s="4">
        <f t="shared" si="43"/>
        <v>569.47096498870974</v>
      </c>
      <c r="K220">
        <f t="shared" si="48"/>
        <v>7.6504238367692866E-3</v>
      </c>
      <c r="L220">
        <f t="shared" si="51"/>
        <v>1.6368259978629806E-3</v>
      </c>
      <c r="M220" s="3">
        <f t="shared" si="44"/>
        <v>1.3768601291257662E-3</v>
      </c>
      <c r="N220" t="str">
        <f t="shared" ca="1" si="45"/>
        <v>wait</v>
      </c>
      <c r="O220">
        <f t="shared" si="52"/>
        <v>1.1181291030102125E-2</v>
      </c>
      <c r="P220">
        <f t="shared" si="53"/>
        <v>1.1316441353261597E-2</v>
      </c>
      <c r="Q220">
        <f t="shared" si="54"/>
        <v>8.3437530999539433E-3</v>
      </c>
      <c r="R220">
        <f t="shared" si="49"/>
        <v>-8.5426437179041415E-3</v>
      </c>
      <c r="S220" s="3">
        <f t="shared" si="55"/>
        <v>2.2408580113550399E-2</v>
      </c>
      <c r="T220" s="3">
        <f t="shared" si="46"/>
        <v>-3.2561660198738435E-4</v>
      </c>
      <c r="V220" t="str">
        <f t="shared" si="47"/>
        <v>11-1</v>
      </c>
    </row>
    <row r="221" spans="1:22">
      <c r="A221" s="1">
        <v>45609</v>
      </c>
      <c r="B221" t="s">
        <v>7</v>
      </c>
      <c r="C221">
        <v>597.36999509999998</v>
      </c>
      <c r="D221">
        <v>599.22998050000001</v>
      </c>
      <c r="E221">
        <v>594.96002199999998</v>
      </c>
      <c r="F221">
        <v>597.19000240000003</v>
      </c>
      <c r="G221">
        <v>47388600</v>
      </c>
      <c r="H221">
        <f t="shared" si="50"/>
        <v>596.1</v>
      </c>
      <c r="I221">
        <f t="shared" si="42"/>
        <v>583.08800048500007</v>
      </c>
      <c r="J221" s="4">
        <f t="shared" si="43"/>
        <v>570.17790074838706</v>
      </c>
      <c r="K221">
        <f t="shared" si="48"/>
        <v>1.9829610916776213E-3</v>
      </c>
      <c r="L221">
        <f t="shared" si="51"/>
        <v>1.2536524906312176E-3</v>
      </c>
      <c r="M221" s="3">
        <f t="shared" si="44"/>
        <v>1.2805718516234112E-3</v>
      </c>
      <c r="N221" t="str">
        <f t="shared" ca="1" si="45"/>
        <v>wait</v>
      </c>
      <c r="O221">
        <f t="shared" si="52"/>
        <v>2.1305067941619349E-3</v>
      </c>
      <c r="P221">
        <f t="shared" si="53"/>
        <v>1.3420976346250058E-3</v>
      </c>
      <c r="Q221">
        <f t="shared" si="54"/>
        <v>-2.9022058379467586E-3</v>
      </c>
      <c r="R221">
        <f t="shared" si="49"/>
        <v>-1.1245958937900702E-2</v>
      </c>
      <c r="S221" s="3">
        <f t="shared" si="55"/>
        <v>2.264223099434028E-2</v>
      </c>
      <c r="T221" s="3">
        <f t="shared" si="46"/>
        <v>2.3365088078988044E-4</v>
      </c>
      <c r="V221" t="str">
        <f t="shared" si="47"/>
        <v>111</v>
      </c>
    </row>
    <row r="222" spans="1:22">
      <c r="A222" s="1">
        <v>45610</v>
      </c>
      <c r="B222" t="s">
        <v>7</v>
      </c>
      <c r="C222">
        <v>597.32000730000004</v>
      </c>
      <c r="D222">
        <v>597.80999759999997</v>
      </c>
      <c r="E222">
        <v>592.65002440000001</v>
      </c>
      <c r="F222">
        <v>593.34997559999999</v>
      </c>
      <c r="G222">
        <v>38904100</v>
      </c>
      <c r="H222">
        <f t="shared" si="50"/>
        <v>597.33000488000005</v>
      </c>
      <c r="I222">
        <f t="shared" si="42"/>
        <v>583.83250121500009</v>
      </c>
      <c r="J222" s="4">
        <f t="shared" si="43"/>
        <v>570.86951372903229</v>
      </c>
      <c r="K222">
        <f t="shared" si="48"/>
        <v>5.3055423472757573E-4</v>
      </c>
      <c r="L222">
        <f t="shared" si="51"/>
        <v>1.2741502036391632E-3</v>
      </c>
      <c r="M222" s="3">
        <f t="shared" si="44"/>
        <v>1.119232381493289E-3</v>
      </c>
      <c r="N222" t="str">
        <f t="shared" ca="1" si="45"/>
        <v>wait</v>
      </c>
      <c r="O222">
        <f t="shared" si="52"/>
        <v>-1.6737113351594779E-5</v>
      </c>
      <c r="P222">
        <f t="shared" si="53"/>
        <v>-2.3438045779755612E-4</v>
      </c>
      <c r="Q222">
        <f t="shared" si="54"/>
        <v>-3.9676273762209169E-3</v>
      </c>
      <c r="R222">
        <f t="shared" si="49"/>
        <v>-1.0654215382741583E-3</v>
      </c>
      <c r="S222" s="3">
        <f t="shared" si="55"/>
        <v>2.2707443950353925E-2</v>
      </c>
      <c r="T222" s="3">
        <f t="shared" si="46"/>
        <v>6.521295601364524E-5</v>
      </c>
      <c r="V222" t="str">
        <f t="shared" si="47"/>
        <v>111</v>
      </c>
    </row>
    <row r="223" spans="1:22">
      <c r="A223" s="1">
        <v>45611</v>
      </c>
      <c r="B223" t="s">
        <v>7</v>
      </c>
      <c r="C223">
        <v>589.71997069999998</v>
      </c>
      <c r="D223">
        <v>590.20001219999995</v>
      </c>
      <c r="E223">
        <v>583.85998540000003</v>
      </c>
      <c r="F223">
        <v>585.75</v>
      </c>
      <c r="G223">
        <v>75988800</v>
      </c>
      <c r="H223">
        <f t="shared" si="50"/>
        <v>596.87800291999997</v>
      </c>
      <c r="I223">
        <f t="shared" si="42"/>
        <v>584.38250121500005</v>
      </c>
      <c r="J223" s="4">
        <f t="shared" si="43"/>
        <v>571.41370711935485</v>
      </c>
      <c r="K223">
        <f t="shared" si="48"/>
        <v>-1.6182239022990506E-3</v>
      </c>
      <c r="L223">
        <f t="shared" si="51"/>
        <v>7.4923863707124726E-4</v>
      </c>
      <c r="M223" s="3">
        <f t="shared" si="44"/>
        <v>1.0336484291918562E-3</v>
      </c>
      <c r="N223" t="str">
        <f t="shared" ca="1" si="45"/>
        <v>wait</v>
      </c>
      <c r="O223">
        <f t="shared" si="52"/>
        <v>-1.1992454379256778E-2</v>
      </c>
      <c r="P223">
        <f t="shared" si="53"/>
        <v>-5.9108013743854881E-3</v>
      </c>
      <c r="Q223">
        <f t="shared" si="54"/>
        <v>-7.0834885844613948E-3</v>
      </c>
      <c r="R223">
        <f t="shared" si="49"/>
        <v>-3.115861208240478E-3</v>
      </c>
      <c r="S223" s="3">
        <f t="shared" si="55"/>
        <v>2.2695980047493538E-2</v>
      </c>
      <c r="T223" s="3">
        <f t="shared" si="46"/>
        <v>-1.1463902860386899E-5</v>
      </c>
      <c r="V223" t="str">
        <f t="shared" si="47"/>
        <v>11-1</v>
      </c>
    </row>
    <row r="224" spans="1:22">
      <c r="A224" s="1">
        <v>45614</v>
      </c>
      <c r="B224" t="s">
        <v>7</v>
      </c>
      <c r="C224">
        <v>586.21997069999998</v>
      </c>
      <c r="D224">
        <v>589.48999019999997</v>
      </c>
      <c r="E224">
        <v>585.3400269</v>
      </c>
      <c r="F224">
        <v>588.15002440000001</v>
      </c>
      <c r="G224">
        <v>37001700</v>
      </c>
      <c r="H224">
        <f t="shared" si="50"/>
        <v>594.3900024400001</v>
      </c>
      <c r="I224">
        <f t="shared" si="42"/>
        <v>584.44049987000005</v>
      </c>
      <c r="J224" s="4">
        <f t="shared" si="43"/>
        <v>571.84999724516138</v>
      </c>
      <c r="K224">
        <f t="shared" si="48"/>
        <v>-4.3456508741609801E-3</v>
      </c>
      <c r="L224">
        <f t="shared" si="51"/>
        <v>1.8162149668463548E-4</v>
      </c>
      <c r="M224" s="3">
        <f t="shared" si="44"/>
        <v>7.4708968402971659E-4</v>
      </c>
      <c r="N224" t="str">
        <f t="shared" ca="1" si="45"/>
        <v>wait</v>
      </c>
      <c r="O224">
        <f t="shared" si="52"/>
        <v>-1.3745237481218919E-2</v>
      </c>
      <c r="P224">
        <f t="shared" si="53"/>
        <v>-1.4535914811037332E-2</v>
      </c>
      <c r="Q224">
        <f t="shared" si="54"/>
        <v>-1.7715669840969506E-2</v>
      </c>
      <c r="R224">
        <f t="shared" si="49"/>
        <v>-1.0632181256508111E-2</v>
      </c>
      <c r="S224" s="3">
        <f t="shared" si="55"/>
        <v>2.2017142057344324E-2</v>
      </c>
      <c r="T224" s="3">
        <f t="shared" si="46"/>
        <v>-6.788379901492142E-4</v>
      </c>
      <c r="V224" t="str">
        <f t="shared" si="47"/>
        <v>11-1</v>
      </c>
    </row>
    <row r="225" spans="1:22">
      <c r="A225" s="1">
        <v>45615</v>
      </c>
      <c r="B225" t="s">
        <v>7</v>
      </c>
      <c r="C225">
        <v>584.71002199999998</v>
      </c>
      <c r="D225">
        <v>591.03997800000002</v>
      </c>
      <c r="E225">
        <v>584.03002930000002</v>
      </c>
      <c r="F225">
        <v>590.29998780000005</v>
      </c>
      <c r="G225">
        <v>49412000</v>
      </c>
      <c r="H225">
        <f t="shared" si="50"/>
        <v>592.26800535999996</v>
      </c>
      <c r="I225">
        <f t="shared" si="42"/>
        <v>584.66650084499997</v>
      </c>
      <c r="J225" s="4">
        <f t="shared" si="43"/>
        <v>572.29402997580667</v>
      </c>
      <c r="K225">
        <f t="shared" si="48"/>
        <v>-2.9318142544207276E-3</v>
      </c>
      <c r="L225">
        <f t="shared" si="51"/>
        <v>4.1401092364005764E-4</v>
      </c>
      <c r="M225" s="3">
        <f t="shared" si="44"/>
        <v>9.5675737963334367E-4</v>
      </c>
      <c r="N225" t="str">
        <f t="shared" ca="1" si="45"/>
        <v>wait</v>
      </c>
      <c r="O225">
        <f t="shared" si="52"/>
        <v>-1.2761086689810242E-2</v>
      </c>
      <c r="P225">
        <f t="shared" si="53"/>
        <v>-6.9529012587754568E-3</v>
      </c>
      <c r="Q225">
        <f t="shared" si="54"/>
        <v>-1.1697370780292093E-2</v>
      </c>
      <c r="R225">
        <f t="shared" si="49"/>
        <v>6.0182990606774123E-3</v>
      </c>
      <c r="S225" s="3">
        <f t="shared" si="55"/>
        <v>2.1619080789146698E-2</v>
      </c>
      <c r="T225" s="3">
        <f t="shared" si="46"/>
        <v>-3.9806126819762547E-4</v>
      </c>
      <c r="V225" t="str">
        <f t="shared" si="47"/>
        <v>11-1</v>
      </c>
    </row>
    <row r="226" spans="1:22">
      <c r="A226" s="1">
        <v>45616</v>
      </c>
      <c r="B226" t="s">
        <v>7</v>
      </c>
      <c r="C226">
        <v>590.38000490000002</v>
      </c>
      <c r="D226">
        <v>590.78997800000002</v>
      </c>
      <c r="E226">
        <v>584.63000490000002</v>
      </c>
      <c r="F226">
        <v>590.5</v>
      </c>
      <c r="G226">
        <v>50032600</v>
      </c>
      <c r="H226">
        <f t="shared" si="50"/>
        <v>590.94799804000002</v>
      </c>
      <c r="I226">
        <f t="shared" ref="I226:I289" si="56">AVERAGE(F206:F225)</f>
        <v>585.01549987000021</v>
      </c>
      <c r="J226" s="4">
        <f t="shared" si="43"/>
        <v>572.84370767096777</v>
      </c>
      <c r="K226">
        <f t="shared" si="48"/>
        <v>-2.3074782137377497E-3</v>
      </c>
      <c r="L226">
        <f t="shared" si="51"/>
        <v>1.0648971270021909E-3</v>
      </c>
      <c r="M226" s="3">
        <f t="shared" si="44"/>
        <v>8.3521553894551879E-4</v>
      </c>
      <c r="N226" t="str">
        <f t="shared" ca="1" si="45"/>
        <v>wait</v>
      </c>
      <c r="O226">
        <f t="shared" si="52"/>
        <v>-9.6115587477052511E-4</v>
      </c>
      <c r="P226">
        <f t="shared" si="53"/>
        <v>-1.0965605131910694E-3</v>
      </c>
      <c r="Q226">
        <f t="shared" si="54"/>
        <v>-1.1706560920664466E-2</v>
      </c>
      <c r="R226">
        <f t="shared" si="49"/>
        <v>-9.190140372372646E-6</v>
      </c>
      <c r="S226" s="3">
        <f t="shared" si="55"/>
        <v>2.1248015882935595E-2</v>
      </c>
      <c r="T226" s="3">
        <f t="shared" si="46"/>
        <v>-3.710649062111035E-4</v>
      </c>
      <c r="V226" t="str">
        <f t="shared" si="47"/>
        <v>11-1</v>
      </c>
    </row>
    <row r="227" spans="1:22">
      <c r="A227" s="1">
        <v>45617</v>
      </c>
      <c r="B227" t="s">
        <v>7</v>
      </c>
      <c r="C227">
        <v>593.40002440000001</v>
      </c>
      <c r="D227">
        <v>595.11999509999998</v>
      </c>
      <c r="E227">
        <v>587.45001219999995</v>
      </c>
      <c r="F227">
        <v>593.66998290000004</v>
      </c>
      <c r="G227">
        <v>46750300</v>
      </c>
      <c r="H227">
        <f t="shared" si="50"/>
        <v>589.60999756000001</v>
      </c>
      <c r="I227">
        <f t="shared" si="56"/>
        <v>585.64100036000002</v>
      </c>
      <c r="J227" s="4">
        <f t="shared" si="43"/>
        <v>573.30128823709686</v>
      </c>
      <c r="K227">
        <f t="shared" si="48"/>
        <v>-9.6063898784796498E-4</v>
      </c>
      <c r="L227">
        <f t="shared" si="51"/>
        <v>9.7196412458609596E-4</v>
      </c>
      <c r="M227" s="3">
        <f t="shared" si="44"/>
        <v>8.8298124566935999E-4</v>
      </c>
      <c r="N227" t="str">
        <f t="shared" ca="1" si="45"/>
        <v>wait</v>
      </c>
      <c r="O227">
        <f t="shared" si="52"/>
        <v>6.4280233640616746E-3</v>
      </c>
      <c r="P227">
        <f t="shared" si="53"/>
        <v>1.5094765076628658E-3</v>
      </c>
      <c r="Q227">
        <f t="shared" si="54"/>
        <v>-8.4462486738842157E-3</v>
      </c>
      <c r="R227">
        <f t="shared" si="49"/>
        <v>3.2603122467802503E-3</v>
      </c>
      <c r="S227" s="3">
        <f t="shared" si="55"/>
        <v>2.1523956732851266E-2</v>
      </c>
      <c r="T227" s="3">
        <f t="shared" si="46"/>
        <v>2.7594084991567139E-4</v>
      </c>
      <c r="V227" t="str">
        <f t="shared" si="47"/>
        <v>111</v>
      </c>
    </row>
    <row r="228" spans="1:22">
      <c r="A228" s="1">
        <v>45618</v>
      </c>
      <c r="B228" t="s">
        <v>7</v>
      </c>
      <c r="C228">
        <v>593.6599731</v>
      </c>
      <c r="D228">
        <v>596.15002440000001</v>
      </c>
      <c r="E228">
        <v>593.15002440000001</v>
      </c>
      <c r="F228">
        <v>595.51000980000003</v>
      </c>
      <c r="G228">
        <v>38226400</v>
      </c>
      <c r="H228">
        <f t="shared" si="50"/>
        <v>589.67399902</v>
      </c>
      <c r="I228">
        <f t="shared" si="56"/>
        <v>586.36249999500001</v>
      </c>
      <c r="J228" s="4">
        <f t="shared" si="43"/>
        <v>573.83161089677424</v>
      </c>
      <c r="K228">
        <f t="shared" si="48"/>
        <v>2.7042195134443147E-3</v>
      </c>
      <c r="L228">
        <f t="shared" si="51"/>
        <v>1.2632983434522043E-3</v>
      </c>
      <c r="M228" s="3">
        <f t="shared" si="44"/>
        <v>9.5299954404492245E-4</v>
      </c>
      <c r="N228" t="str">
        <f t="shared" ca="1" si="45"/>
        <v>wait</v>
      </c>
      <c r="O228">
        <f t="shared" si="52"/>
        <v>6.7596232606905726E-3</v>
      </c>
      <c r="P228">
        <f t="shared" si="53"/>
        <v>6.7765984029160009E-3</v>
      </c>
      <c r="Q228">
        <f t="shared" si="54"/>
        <v>-3.7715531356243837E-3</v>
      </c>
      <c r="R228">
        <f t="shared" si="49"/>
        <v>4.6746955382598321E-3</v>
      </c>
      <c r="S228" s="3">
        <f t="shared" si="55"/>
        <v>2.1837223429784065E-2</v>
      </c>
      <c r="T228" s="3">
        <f t="shared" si="46"/>
        <v>3.1326669693279921E-4</v>
      </c>
      <c r="V228" t="str">
        <f t="shared" si="47"/>
        <v>111</v>
      </c>
    </row>
    <row r="229" spans="1:22">
      <c r="A229" s="1">
        <v>45621</v>
      </c>
      <c r="B229" t="s">
        <v>7</v>
      </c>
      <c r="C229">
        <v>599.52001949999999</v>
      </c>
      <c r="D229">
        <v>600.85998540000003</v>
      </c>
      <c r="E229">
        <v>595.20001219999995</v>
      </c>
      <c r="F229">
        <v>597.53002930000002</v>
      </c>
      <c r="G229">
        <v>42441400</v>
      </c>
      <c r="H229">
        <f t="shared" si="50"/>
        <v>591.62600098000007</v>
      </c>
      <c r="I229">
        <f t="shared" si="56"/>
        <v>587.18600158499999</v>
      </c>
      <c r="J229" s="4">
        <f t="shared" si="43"/>
        <v>574.37919173870966</v>
      </c>
      <c r="K229">
        <f t="shared" si="48"/>
        <v>2.5027578320712647E-3</v>
      </c>
      <c r="L229">
        <f t="shared" si="51"/>
        <v>1.263708164851323E-3</v>
      </c>
      <c r="M229" s="3">
        <f t="shared" si="44"/>
        <v>1.110813266855194E-3</v>
      </c>
      <c r="N229" t="str">
        <f t="shared" ca="1" si="45"/>
        <v>wait</v>
      </c>
      <c r="O229">
        <f t="shared" si="52"/>
        <v>1.3342920201147024E-2</v>
      </c>
      <c r="P229">
        <f t="shared" si="53"/>
        <v>6.5649731647463572E-3</v>
      </c>
      <c r="Q229">
        <f t="shared" si="54"/>
        <v>2.5759912807676866E-3</v>
      </c>
      <c r="R229">
        <f t="shared" si="49"/>
        <v>6.3475444163920702E-3</v>
      </c>
      <c r="S229" s="3">
        <f t="shared" si="55"/>
        <v>2.2296785869840938E-2</v>
      </c>
      <c r="T229" s="3">
        <f t="shared" si="46"/>
        <v>4.5956244005687305E-4</v>
      </c>
      <c r="V229" t="str">
        <f t="shared" si="47"/>
        <v>111</v>
      </c>
    </row>
    <row r="230" spans="1:22">
      <c r="A230" s="1">
        <v>45622</v>
      </c>
      <c r="B230" t="s">
        <v>7</v>
      </c>
      <c r="C230">
        <v>598.79998780000005</v>
      </c>
      <c r="D230">
        <v>601.33001709999996</v>
      </c>
      <c r="E230">
        <v>598.07000730000004</v>
      </c>
      <c r="F230">
        <v>600.65002440000001</v>
      </c>
      <c r="G230">
        <v>45621300</v>
      </c>
      <c r="H230">
        <f t="shared" si="50"/>
        <v>593.50200196000003</v>
      </c>
      <c r="I230">
        <f t="shared" si="56"/>
        <v>588.02100219499994</v>
      </c>
      <c r="J230" s="4">
        <f t="shared" si="43"/>
        <v>575.01193434354843</v>
      </c>
      <c r="K230">
        <f t="shared" si="48"/>
        <v>2.4496160086147876E-3</v>
      </c>
      <c r="L230">
        <f t="shared" si="51"/>
        <v>1.3544879653256208E-3</v>
      </c>
      <c r="M230" s="3">
        <f t="shared" si="44"/>
        <v>1.169518981886386E-3</v>
      </c>
      <c r="N230" t="str">
        <f t="shared" ca="1" si="45"/>
        <v>wait</v>
      </c>
      <c r="O230">
        <f t="shared" si="52"/>
        <v>8.9266520121309423E-3</v>
      </c>
      <c r="P230">
        <f t="shared" si="53"/>
        <v>6.7868807968594069E-3</v>
      </c>
      <c r="Q230">
        <f t="shared" si="54"/>
        <v>2.8610017057943971E-3</v>
      </c>
      <c r="R230">
        <f t="shared" si="49"/>
        <v>2.8501042502671048E-4</v>
      </c>
      <c r="S230" s="3">
        <f t="shared" si="55"/>
        <v>2.2623996258969933E-2</v>
      </c>
      <c r="T230" s="3">
        <f t="shared" si="46"/>
        <v>3.2721038912899431E-4</v>
      </c>
      <c r="V230" t="str">
        <f t="shared" si="47"/>
        <v>111</v>
      </c>
    </row>
    <row r="231" spans="1:22">
      <c r="A231" s="1">
        <v>45623</v>
      </c>
      <c r="B231" t="s">
        <v>7</v>
      </c>
      <c r="C231">
        <v>600.46002199999998</v>
      </c>
      <c r="D231">
        <v>600.84997559999999</v>
      </c>
      <c r="E231">
        <v>597.28002930000002</v>
      </c>
      <c r="F231">
        <v>598.83001709999996</v>
      </c>
      <c r="G231">
        <v>34000200</v>
      </c>
      <c r="H231">
        <f t="shared" si="50"/>
        <v>595.57200927999997</v>
      </c>
      <c r="I231">
        <f t="shared" si="56"/>
        <v>588.96500244000003</v>
      </c>
      <c r="J231" s="4">
        <f t="shared" si="43"/>
        <v>575.69419319516146</v>
      </c>
      <c r="K231">
        <f t="shared" si="48"/>
        <v>3.4377728704487742E-3</v>
      </c>
      <c r="L231">
        <f t="shared" si="51"/>
        <v>1.7792808961277318E-3</v>
      </c>
      <c r="M231" s="3">
        <f t="shared" si="44"/>
        <v>1.0931152479771186E-3</v>
      </c>
      <c r="N231" t="str">
        <f t="shared" ca="1" si="45"/>
        <v>wait</v>
      </c>
      <c r="O231">
        <f t="shared" si="52"/>
        <v>8.2072572985913972E-3</v>
      </c>
      <c r="P231">
        <f t="shared" si="53"/>
        <v>8.5262823653162734E-3</v>
      </c>
      <c r="Q231">
        <f t="shared" si="54"/>
        <v>4.1942837827788626E-3</v>
      </c>
      <c r="R231">
        <f t="shared" si="49"/>
        <v>1.3332820769844655E-3</v>
      </c>
      <c r="S231" s="3">
        <f t="shared" si="55"/>
        <v>2.3051837940529205E-2</v>
      </c>
      <c r="T231" s="3">
        <f t="shared" si="46"/>
        <v>4.2784168155927255E-4</v>
      </c>
      <c r="V231" t="str">
        <f t="shared" si="47"/>
        <v>111</v>
      </c>
    </row>
    <row r="232" spans="1:22">
      <c r="A232" s="1">
        <v>45625</v>
      </c>
      <c r="B232" t="s">
        <v>7</v>
      </c>
      <c r="C232">
        <v>599.6599731</v>
      </c>
      <c r="D232">
        <v>603.34997559999999</v>
      </c>
      <c r="E232">
        <v>599.38000490000002</v>
      </c>
      <c r="F232">
        <v>602.54998780000005</v>
      </c>
      <c r="G232">
        <v>30177400</v>
      </c>
      <c r="H232">
        <f t="shared" si="50"/>
        <v>597.23801270000001</v>
      </c>
      <c r="I232">
        <f t="shared" si="56"/>
        <v>589.90600280499996</v>
      </c>
      <c r="J232" s="4">
        <f t="shared" si="43"/>
        <v>576.26112907258062</v>
      </c>
      <c r="K232">
        <f t="shared" si="48"/>
        <v>1.7383510531537526E-3</v>
      </c>
      <c r="L232">
        <f t="shared" si="51"/>
        <v>2.6545794988800278E-3</v>
      </c>
      <c r="M232" s="3">
        <f t="shared" si="44"/>
        <v>1.4113292322361559E-3</v>
      </c>
      <c r="N232" t="str">
        <f t="shared" ca="1" si="45"/>
        <v>wait</v>
      </c>
      <c r="O232">
        <f t="shared" si="52"/>
        <v>4.0552683327217398E-3</v>
      </c>
      <c r="P232">
        <f t="shared" si="53"/>
        <v>2.6656113076306553E-3</v>
      </c>
      <c r="Q232">
        <f t="shared" si="54"/>
        <v>7.0351516659350466E-5</v>
      </c>
      <c r="R232">
        <f t="shared" si="49"/>
        <v>-4.1239322661195121E-3</v>
      </c>
      <c r="S232" s="3">
        <f t="shared" si="55"/>
        <v>2.3678282368930628E-2</v>
      </c>
      <c r="T232" s="3">
        <f t="shared" si="46"/>
        <v>6.2644442840142228E-4</v>
      </c>
      <c r="V232" t="str">
        <f t="shared" si="47"/>
        <v>111</v>
      </c>
    </row>
    <row r="233" spans="1:22">
      <c r="A233" s="1">
        <v>45628</v>
      </c>
      <c r="B233" t="s">
        <v>7</v>
      </c>
      <c r="C233">
        <v>602.96997069999998</v>
      </c>
      <c r="D233">
        <v>604.32000730000004</v>
      </c>
      <c r="E233">
        <v>602.46997069999998</v>
      </c>
      <c r="F233">
        <v>603.63000490000002</v>
      </c>
      <c r="G233">
        <v>31746000</v>
      </c>
      <c r="H233">
        <f t="shared" si="50"/>
        <v>599.01401368000006</v>
      </c>
      <c r="I233">
        <f t="shared" si="56"/>
        <v>591.60150146499996</v>
      </c>
      <c r="J233" s="4">
        <f t="shared" si="43"/>
        <v>577.07516085806446</v>
      </c>
      <c r="K233">
        <f t="shared" si="48"/>
        <v>2.3643525328363064E-3</v>
      </c>
      <c r="L233">
        <f t="shared" si="51"/>
        <v>2.7590020851394779E-3</v>
      </c>
      <c r="M233" s="3">
        <f t="shared" si="44"/>
        <v>1.5609394215262259E-3</v>
      </c>
      <c r="N233" t="str">
        <f t="shared" ca="1" si="45"/>
        <v>wait</v>
      </c>
      <c r="O233">
        <f t="shared" si="52"/>
        <v>6.6041143106099209E-3</v>
      </c>
      <c r="P233">
        <f t="shared" si="53"/>
        <v>5.9029906467078508E-3</v>
      </c>
      <c r="Q233">
        <f t="shared" si="54"/>
        <v>6.109894120029935E-4</v>
      </c>
      <c r="R233">
        <f t="shared" si="49"/>
        <v>5.4063789534364304E-4</v>
      </c>
      <c r="S233" s="3">
        <f t="shared" si="55"/>
        <v>2.5172354646725719E-2</v>
      </c>
      <c r="T233" s="3">
        <f t="shared" si="46"/>
        <v>1.4940722777950916E-3</v>
      </c>
      <c r="V233" t="str">
        <f t="shared" si="47"/>
        <v>111</v>
      </c>
    </row>
    <row r="234" spans="1:22">
      <c r="A234" s="1">
        <v>45629</v>
      </c>
      <c r="B234" t="s">
        <v>7</v>
      </c>
      <c r="C234">
        <v>603.39001459999997</v>
      </c>
      <c r="D234">
        <v>604.1599731</v>
      </c>
      <c r="E234">
        <v>602.3400269</v>
      </c>
      <c r="F234">
        <v>603.9099731</v>
      </c>
      <c r="G234">
        <v>26906600</v>
      </c>
      <c r="H234">
        <f t="shared" si="50"/>
        <v>600.63801269999999</v>
      </c>
      <c r="I234">
        <f t="shared" si="56"/>
        <v>593.23100280999995</v>
      </c>
      <c r="J234" s="4">
        <f t="shared" si="43"/>
        <v>577.92483815967728</v>
      </c>
      <c r="K234">
        <f t="shared" si="48"/>
        <v>2.041730223047049E-3</v>
      </c>
      <c r="L234">
        <f t="shared" si="51"/>
        <v>2.9676565383590634E-3</v>
      </c>
      <c r="M234" s="3">
        <f t="shared" si="44"/>
        <v>1.6381319158131386E-3</v>
      </c>
      <c r="N234" t="str">
        <f t="shared" ca="1" si="45"/>
        <v>wait</v>
      </c>
      <c r="O234">
        <f t="shared" si="52"/>
        <v>4.5817977580691061E-3</v>
      </c>
      <c r="P234">
        <f t="shared" si="53"/>
        <v>4.9813567185839069E-3</v>
      </c>
      <c r="Q234">
        <f t="shared" si="54"/>
        <v>3.050020080755278E-3</v>
      </c>
      <c r="R234">
        <f t="shared" si="49"/>
        <v>2.4390306687522845E-3</v>
      </c>
      <c r="S234" s="3">
        <f t="shared" si="55"/>
        <v>2.6484697731738026E-2</v>
      </c>
      <c r="T234" s="3">
        <f t="shared" si="46"/>
        <v>1.3123430850123068E-3</v>
      </c>
      <c r="V234" t="str">
        <f t="shared" si="47"/>
        <v>111</v>
      </c>
    </row>
    <row r="235" spans="1:22">
      <c r="A235" s="1">
        <v>45630</v>
      </c>
      <c r="B235" t="s">
        <v>7</v>
      </c>
      <c r="C235">
        <v>605.63000490000002</v>
      </c>
      <c r="D235">
        <v>607.9099731</v>
      </c>
      <c r="E235">
        <v>604.95001219999995</v>
      </c>
      <c r="F235">
        <v>607.6599731</v>
      </c>
      <c r="G235">
        <v>42787600</v>
      </c>
      <c r="H235">
        <f t="shared" si="50"/>
        <v>601.91400146000001</v>
      </c>
      <c r="I235">
        <f t="shared" si="56"/>
        <v>594.93600158499999</v>
      </c>
      <c r="J235" s="4">
        <f t="shared" si="43"/>
        <v>578.80064441290324</v>
      </c>
      <c r="K235">
        <f t="shared" si="48"/>
        <v>1.0854735927985407E-3</v>
      </c>
      <c r="L235">
        <f t="shared" si="51"/>
        <v>2.3591087501627817E-3</v>
      </c>
      <c r="M235" s="3">
        <f t="shared" si="44"/>
        <v>1.9601126846626534E-3</v>
      </c>
      <c r="N235" t="str">
        <f t="shared" ca="1" si="45"/>
        <v>wait</v>
      </c>
      <c r="O235">
        <f t="shared" si="52"/>
        <v>6.173645123699556E-3</v>
      </c>
      <c r="P235">
        <f t="shared" si="53"/>
        <v>3.3160412204378265E-3</v>
      </c>
      <c r="Q235">
        <f t="shared" si="54"/>
        <v>7.0778456551368052E-4</v>
      </c>
      <c r="R235">
        <f t="shared" si="49"/>
        <v>-2.3422355152415975E-3</v>
      </c>
      <c r="S235" s="3">
        <f t="shared" si="55"/>
        <v>2.7877227380186102E-2</v>
      </c>
      <c r="T235" s="3">
        <f t="shared" si="46"/>
        <v>1.3925296484480765E-3</v>
      </c>
      <c r="V235" t="str">
        <f t="shared" si="47"/>
        <v>111</v>
      </c>
    </row>
    <row r="236" spans="1:22">
      <c r="A236" s="1">
        <v>45631</v>
      </c>
      <c r="B236" t="s">
        <v>7</v>
      </c>
      <c r="C236">
        <v>607.6599731</v>
      </c>
      <c r="D236">
        <v>608.47998050000001</v>
      </c>
      <c r="E236">
        <v>606.29998780000005</v>
      </c>
      <c r="F236">
        <v>606.6599731</v>
      </c>
      <c r="G236">
        <v>28762200</v>
      </c>
      <c r="H236">
        <f t="shared" si="50"/>
        <v>603.3159912000001</v>
      </c>
      <c r="I236">
        <f t="shared" si="56"/>
        <v>596.48399962999997</v>
      </c>
      <c r="J236" s="4">
        <f t="shared" si="43"/>
        <v>579.88612808548396</v>
      </c>
      <c r="K236">
        <f t="shared" si="48"/>
        <v>2.9490692676902011E-3</v>
      </c>
      <c r="L236">
        <f t="shared" si="51"/>
        <v>1.405995847881544E-3</v>
      </c>
      <c r="M236" s="3">
        <f t="shared" si="44"/>
        <v>1.8682553093636667E-3</v>
      </c>
      <c r="N236" t="str">
        <f t="shared" ca="1" si="45"/>
        <v>wait</v>
      </c>
      <c r="O236">
        <f t="shared" si="52"/>
        <v>7.2001769609317812E-3</v>
      </c>
      <c r="P236">
        <f t="shared" si="53"/>
        <v>7.2001769609317812E-3</v>
      </c>
      <c r="Q236">
        <f t="shared" si="54"/>
        <v>2.7083999493362487E-3</v>
      </c>
      <c r="R236">
        <f t="shared" si="49"/>
        <v>2.0006153838225682E-3</v>
      </c>
      <c r="S236" s="3">
        <f t="shared" si="55"/>
        <v>2.8622639412524856E-2</v>
      </c>
      <c r="T236" s="3">
        <f t="shared" si="46"/>
        <v>7.4541203233875405E-4</v>
      </c>
      <c r="V236" t="str">
        <f t="shared" si="47"/>
        <v>111</v>
      </c>
    </row>
    <row r="237" spans="1:22">
      <c r="A237" s="1">
        <v>45632</v>
      </c>
      <c r="B237" t="s">
        <v>7</v>
      </c>
      <c r="C237">
        <v>607.44000240000003</v>
      </c>
      <c r="D237">
        <v>609.07000730000004</v>
      </c>
      <c r="E237">
        <v>607.02001949999999</v>
      </c>
      <c r="F237">
        <v>607.80999759999997</v>
      </c>
      <c r="G237">
        <v>31241500</v>
      </c>
      <c r="H237">
        <f t="shared" si="50"/>
        <v>604.88198240000008</v>
      </c>
      <c r="I237">
        <f t="shared" si="56"/>
        <v>597.26499938500001</v>
      </c>
      <c r="J237" s="4">
        <f t="shared" si="43"/>
        <v>580.85790227903237</v>
      </c>
      <c r="K237">
        <f t="shared" si="48"/>
        <v>1.3641972892593089E-3</v>
      </c>
      <c r="L237">
        <f t="shared" si="51"/>
        <v>9.2761941294343972E-4</v>
      </c>
      <c r="M237" s="3">
        <f t="shared" si="44"/>
        <v>1.7575027915931313E-3</v>
      </c>
      <c r="N237" t="str">
        <f t="shared" ca="1" si="45"/>
        <v>wait</v>
      </c>
      <c r="O237">
        <f t="shared" si="52"/>
        <v>4.2289571758287181E-3</v>
      </c>
      <c r="P237">
        <f t="shared" si="53"/>
        <v>2.9394009934720078E-3</v>
      </c>
      <c r="Q237">
        <f t="shared" si="54"/>
        <v>2.3442678758156532E-3</v>
      </c>
      <c r="R237">
        <f t="shared" si="49"/>
        <v>-3.6413207352059551E-4</v>
      </c>
      <c r="S237" s="3">
        <f t="shared" si="55"/>
        <v>2.8246318146991481E-2</v>
      </c>
      <c r="T237" s="3">
        <f t="shared" si="46"/>
        <v>-3.7632126553337544E-4</v>
      </c>
      <c r="V237" t="str">
        <f t="shared" si="47"/>
        <v>11-1</v>
      </c>
    </row>
    <row r="238" spans="1:22">
      <c r="A238" s="1">
        <v>45635</v>
      </c>
      <c r="B238" t="s">
        <v>7</v>
      </c>
      <c r="C238">
        <v>607.69000240000003</v>
      </c>
      <c r="D238">
        <v>607.85998540000003</v>
      </c>
      <c r="E238">
        <v>604.08001709999996</v>
      </c>
      <c r="F238">
        <v>604.67999269999996</v>
      </c>
      <c r="G238">
        <v>34742700</v>
      </c>
      <c r="H238">
        <f t="shared" si="50"/>
        <v>605.93398435999995</v>
      </c>
      <c r="I238">
        <f t="shared" si="56"/>
        <v>597.87499999500005</v>
      </c>
      <c r="J238" s="4">
        <f t="shared" si="43"/>
        <v>581.80983807903249</v>
      </c>
      <c r="K238">
        <f t="shared" si="48"/>
        <v>1.3849519295159732E-3</v>
      </c>
      <c r="L238">
        <f t="shared" si="51"/>
        <v>8.0409194080505641E-4</v>
      </c>
      <c r="M238" s="3">
        <f t="shared" si="44"/>
        <v>1.6049810717118946E-3</v>
      </c>
      <c r="N238" t="str">
        <f t="shared" ca="1" si="45"/>
        <v>wait</v>
      </c>
      <c r="O238">
        <f t="shared" si="52"/>
        <v>2.8980352403484844E-3</v>
      </c>
      <c r="P238">
        <f t="shared" si="53"/>
        <v>3.0960686946475136E-3</v>
      </c>
      <c r="Q238">
        <f t="shared" si="54"/>
        <v>1.7923324455009215E-3</v>
      </c>
      <c r="R238">
        <f t="shared" si="49"/>
        <v>-5.5193543031473169E-4</v>
      </c>
      <c r="S238" s="3">
        <f t="shared" si="55"/>
        <v>2.7612393026921089E-2</v>
      </c>
      <c r="T238" s="3">
        <f t="shared" si="46"/>
        <v>-6.3392512007039159E-4</v>
      </c>
      <c r="V238" t="str">
        <f t="shared" si="47"/>
        <v>11-1</v>
      </c>
    </row>
    <row r="239" spans="1:22">
      <c r="A239" s="1">
        <v>45636</v>
      </c>
      <c r="B239" t="s">
        <v>7</v>
      </c>
      <c r="C239">
        <v>605.36999509999998</v>
      </c>
      <c r="D239">
        <v>605.79998780000005</v>
      </c>
      <c r="E239">
        <v>602.13000490000002</v>
      </c>
      <c r="F239">
        <v>602.79998780000005</v>
      </c>
      <c r="G239">
        <v>37234500</v>
      </c>
      <c r="H239">
        <f t="shared" si="50"/>
        <v>606.14398191999987</v>
      </c>
      <c r="I239">
        <f t="shared" si="56"/>
        <v>598.19949951000012</v>
      </c>
      <c r="J239" s="4">
        <f t="shared" si="43"/>
        <v>582.62048339838736</v>
      </c>
      <c r="K239">
        <f t="shared" si="48"/>
        <v>2.5501138722623787E-4</v>
      </c>
      <c r="L239">
        <f t="shared" si="51"/>
        <v>4.9435356429175493E-4</v>
      </c>
      <c r="M239" s="3">
        <f t="shared" si="44"/>
        <v>1.3590526154551455E-3</v>
      </c>
      <c r="N239" t="str">
        <f t="shared" ca="1" si="45"/>
        <v>wait</v>
      </c>
      <c r="O239">
        <f t="shared" si="52"/>
        <v>-1.2769025892961361E-3</v>
      </c>
      <c r="P239">
        <f t="shared" si="53"/>
        <v>-2.4152499466589816E-3</v>
      </c>
      <c r="Q239">
        <f t="shared" si="54"/>
        <v>-3.4050735164641299E-3</v>
      </c>
      <c r="R239">
        <f t="shared" si="49"/>
        <v>-5.1974059619650514E-3</v>
      </c>
      <c r="S239" s="3">
        <f t="shared" si="55"/>
        <v>2.6739561267639222E-2</v>
      </c>
      <c r="T239" s="3">
        <f t="shared" si="46"/>
        <v>-8.7283175928186754E-4</v>
      </c>
      <c r="V239" t="str">
        <f t="shared" si="47"/>
        <v>11-1</v>
      </c>
    </row>
    <row r="240" spans="1:22">
      <c r="A240" s="1">
        <v>45637</v>
      </c>
      <c r="B240" t="s">
        <v>7</v>
      </c>
      <c r="C240">
        <v>605.78002930000002</v>
      </c>
      <c r="D240">
        <v>608.42999269999996</v>
      </c>
      <c r="E240">
        <v>605.5</v>
      </c>
      <c r="F240">
        <v>607.46002199999998</v>
      </c>
      <c r="G240">
        <v>28677700</v>
      </c>
      <c r="H240">
        <f t="shared" si="50"/>
        <v>605.92198485999995</v>
      </c>
      <c r="I240">
        <f t="shared" si="56"/>
        <v>598.40149841000004</v>
      </c>
      <c r="J240" s="4">
        <f t="shared" si="43"/>
        <v>583.32548276774219</v>
      </c>
      <c r="K240">
        <f t="shared" si="48"/>
        <v>-1.5995739443579119E-3</v>
      </c>
      <c r="L240">
        <f t="shared" si="51"/>
        <v>4.9421705133373471E-4</v>
      </c>
      <c r="M240" s="3">
        <f t="shared" si="44"/>
        <v>1.2096456554369843E-3</v>
      </c>
      <c r="N240" t="str">
        <f t="shared" ca="1" si="45"/>
        <v>wait</v>
      </c>
      <c r="O240">
        <f t="shared" si="52"/>
        <v>-2.3428025974780997E-4</v>
      </c>
      <c r="P240">
        <f t="shared" si="53"/>
        <v>-5.1524736484371836E-3</v>
      </c>
      <c r="Q240">
        <f t="shared" si="54"/>
        <v>-6.2581983402963948E-3</v>
      </c>
      <c r="R240">
        <f t="shared" si="49"/>
        <v>-2.8531248238322648E-3</v>
      </c>
      <c r="S240" s="3">
        <f t="shared" si="55"/>
        <v>2.5844946068060853E-2</v>
      </c>
      <c r="T240" s="3">
        <f t="shared" si="46"/>
        <v>-8.946151995783691E-4</v>
      </c>
      <c r="V240" t="str">
        <f t="shared" si="47"/>
        <v>11-1</v>
      </c>
    </row>
    <row r="241" spans="1:22">
      <c r="A241" s="1">
        <v>45638</v>
      </c>
      <c r="B241" t="s">
        <v>7</v>
      </c>
      <c r="C241">
        <v>606.58001709999996</v>
      </c>
      <c r="D241">
        <v>607.1599731</v>
      </c>
      <c r="E241">
        <v>604.33001709999996</v>
      </c>
      <c r="F241">
        <v>604.33001709999996</v>
      </c>
      <c r="G241">
        <v>31543800</v>
      </c>
      <c r="H241">
        <f t="shared" si="50"/>
        <v>605.88199464000013</v>
      </c>
      <c r="I241">
        <f t="shared" si="56"/>
        <v>598.92949829000008</v>
      </c>
      <c r="J241" s="4">
        <f t="shared" si="43"/>
        <v>584.05854748064542</v>
      </c>
      <c r="K241">
        <f t="shared" si="48"/>
        <v>2.6375529472029343E-4</v>
      </c>
      <c r="L241">
        <f t="shared" si="51"/>
        <v>8.5986198351668472E-4</v>
      </c>
      <c r="M241" s="3">
        <f t="shared" si="44"/>
        <v>1.3212752282312844E-3</v>
      </c>
      <c r="N241" t="str">
        <f t="shared" ca="1" si="45"/>
        <v>wait</v>
      </c>
      <c r="O241">
        <f t="shared" si="52"/>
        <v>1.152076586158568E-3</v>
      </c>
      <c r="P241">
        <f t="shared" si="53"/>
        <v>2.6045127169318505E-3</v>
      </c>
      <c r="Q241">
        <f t="shared" si="54"/>
        <v>-6.3047696313722756E-4</v>
      </c>
      <c r="R241">
        <f t="shared" si="49"/>
        <v>5.6277213771591672E-3</v>
      </c>
      <c r="S241" s="3">
        <f t="shared" si="55"/>
        <v>2.5461404294999147E-2</v>
      </c>
      <c r="T241" s="3">
        <f t="shared" si="46"/>
        <v>-3.8354177306170606E-4</v>
      </c>
      <c r="V241" t="str">
        <f t="shared" si="47"/>
        <v>11-1</v>
      </c>
    </row>
    <row r="242" spans="1:22">
      <c r="A242" s="1">
        <v>45639</v>
      </c>
      <c r="B242" t="s">
        <v>7</v>
      </c>
      <c r="C242">
        <v>606.40002440000001</v>
      </c>
      <c r="D242">
        <v>607.13000490000002</v>
      </c>
      <c r="E242">
        <v>602.80999759999997</v>
      </c>
      <c r="F242">
        <v>604.21002199999998</v>
      </c>
      <c r="G242">
        <v>35904700</v>
      </c>
      <c r="H242">
        <f t="shared" si="50"/>
        <v>605.41600343999994</v>
      </c>
      <c r="I242">
        <f t="shared" si="56"/>
        <v>599.2864990249999</v>
      </c>
      <c r="J242" s="4">
        <f t="shared" si="43"/>
        <v>584.72774087096775</v>
      </c>
      <c r="K242">
        <f t="shared" si="48"/>
        <v>-1.1450882722367417E-3</v>
      </c>
      <c r="L242">
        <f t="shared" si="51"/>
        <v>9.2525844371164499E-4</v>
      </c>
      <c r="M242" s="3">
        <f t="shared" si="44"/>
        <v>1.2212812280616011E-3</v>
      </c>
      <c r="N242" t="str">
        <f t="shared" ca="1" si="45"/>
        <v>wait</v>
      </c>
      <c r="O242">
        <f t="shared" si="52"/>
        <v>1.6253633111922294E-3</v>
      </c>
      <c r="P242">
        <f t="shared" si="53"/>
        <v>-1.7937853208856991E-3</v>
      </c>
      <c r="Q242">
        <f t="shared" si="54"/>
        <v>-1.7937853208856991E-3</v>
      </c>
      <c r="R242">
        <f t="shared" si="49"/>
        <v>-1.1633083577484715E-3</v>
      </c>
      <c r="S242" s="3">
        <f t="shared" si="55"/>
        <v>2.4898353774607109E-2</v>
      </c>
      <c r="T242" s="3">
        <f t="shared" si="46"/>
        <v>-5.6305052039203746E-4</v>
      </c>
      <c r="V242" t="str">
        <f t="shared" si="47"/>
        <v>11-1</v>
      </c>
    </row>
    <row r="243" spans="1:22">
      <c r="A243" s="1">
        <v>45642</v>
      </c>
      <c r="B243" t="s">
        <v>7</v>
      </c>
      <c r="C243">
        <v>606</v>
      </c>
      <c r="D243">
        <v>607.78002930000002</v>
      </c>
      <c r="E243">
        <v>605.21002199999998</v>
      </c>
      <c r="F243">
        <v>606.78997800000002</v>
      </c>
      <c r="G243">
        <v>43695200</v>
      </c>
      <c r="H243">
        <f t="shared" si="50"/>
        <v>604.69600831999992</v>
      </c>
      <c r="I243">
        <f t="shared" si="56"/>
        <v>599.82950134499981</v>
      </c>
      <c r="J243" s="4">
        <f t="shared" si="43"/>
        <v>585.39128949516123</v>
      </c>
      <c r="K243">
        <f t="shared" si="48"/>
        <v>-1.5544443529592449E-4</v>
      </c>
      <c r="L243">
        <f t="shared" si="51"/>
        <v>1.5757594536918464E-3</v>
      </c>
      <c r="M243" s="3">
        <f t="shared" si="44"/>
        <v>1.2709296918227914E-3</v>
      </c>
      <c r="N243" t="str">
        <f t="shared" ca="1" si="45"/>
        <v>wait</v>
      </c>
      <c r="O243">
        <f t="shared" si="52"/>
        <v>2.1564416864978675E-3</v>
      </c>
      <c r="P243">
        <f t="shared" si="53"/>
        <v>-8.0368699861299575E-4</v>
      </c>
      <c r="Q243">
        <f t="shared" si="54"/>
        <v>-3.1189402510524156E-3</v>
      </c>
      <c r="R243">
        <f t="shared" si="49"/>
        <v>-1.3251549301667165E-3</v>
      </c>
      <c r="S243" s="3">
        <f t="shared" si="55"/>
        <v>2.4664206845800573E-2</v>
      </c>
      <c r="T243" s="3">
        <f t="shared" si="46"/>
        <v>-2.341469288065362E-4</v>
      </c>
      <c r="V243" t="str">
        <f t="shared" si="47"/>
        <v>11-1</v>
      </c>
    </row>
    <row r="244" spans="1:22">
      <c r="A244" s="1">
        <v>45643</v>
      </c>
      <c r="B244" t="s">
        <v>7</v>
      </c>
      <c r="C244">
        <v>604.19000240000003</v>
      </c>
      <c r="D244">
        <v>605.16998290000004</v>
      </c>
      <c r="E244">
        <v>602.89001459999997</v>
      </c>
      <c r="F244">
        <v>604.28997800000002</v>
      </c>
      <c r="G244">
        <v>55773500</v>
      </c>
      <c r="H244">
        <f t="shared" si="50"/>
        <v>605.11800537999989</v>
      </c>
      <c r="I244">
        <f t="shared" si="56"/>
        <v>600.88150024499987</v>
      </c>
      <c r="J244" s="4">
        <f t="shared" si="43"/>
        <v>586.12338552096776</v>
      </c>
      <c r="K244">
        <f t="shared" si="48"/>
        <v>1.3238189385377972E-3</v>
      </c>
      <c r="L244">
        <f t="shared" si="51"/>
        <v>1.5846257610050703E-3</v>
      </c>
      <c r="M244" s="3">
        <f t="shared" si="44"/>
        <v>1.0452788399761886E-3</v>
      </c>
      <c r="N244" t="str">
        <f t="shared" ca="1" si="45"/>
        <v>wait</v>
      </c>
      <c r="O244">
        <f t="shared" si="52"/>
        <v>-1.5335900960624649E-3</v>
      </c>
      <c r="P244">
        <f t="shared" si="53"/>
        <v>2.7630521735180213E-3</v>
      </c>
      <c r="Q244">
        <f t="shared" si="54"/>
        <v>1.5206392667543867E-4</v>
      </c>
      <c r="R244">
        <f t="shared" si="49"/>
        <v>3.2710041777278542E-3</v>
      </c>
      <c r="S244" s="3">
        <f t="shared" si="55"/>
        <v>2.5179194498295889E-2</v>
      </c>
      <c r="T244" s="3">
        <f t="shared" si="46"/>
        <v>5.1498765249531619E-4</v>
      </c>
      <c r="V244" t="str">
        <f t="shared" si="47"/>
        <v>111</v>
      </c>
    </row>
    <row r="245" spans="1:22">
      <c r="A245" s="1">
        <v>45644</v>
      </c>
      <c r="B245" t="s">
        <v>7</v>
      </c>
      <c r="C245">
        <v>603.97998050000001</v>
      </c>
      <c r="D245">
        <v>606.4099731</v>
      </c>
      <c r="E245">
        <v>585.89001459999997</v>
      </c>
      <c r="F245">
        <v>586.28002930000002</v>
      </c>
      <c r="G245">
        <v>108248700</v>
      </c>
      <c r="H245">
        <f t="shared" si="50"/>
        <v>605.41600342000004</v>
      </c>
      <c r="I245">
        <f t="shared" si="56"/>
        <v>601.68849792499998</v>
      </c>
      <c r="J245" s="4">
        <f t="shared" si="43"/>
        <v>586.66064354516129</v>
      </c>
      <c r="K245">
        <f t="shared" si="48"/>
        <v>-1.0437045682653869E-3</v>
      </c>
      <c r="L245">
        <f t="shared" si="51"/>
        <v>1.1849898771080377E-3</v>
      </c>
      <c r="M245" s="3">
        <f t="shared" si="44"/>
        <v>1.0570458424989007E-3</v>
      </c>
      <c r="N245" t="str">
        <f t="shared" ca="1" si="45"/>
        <v>wait</v>
      </c>
      <c r="O245">
        <f t="shared" si="52"/>
        <v>-2.3719606219325673E-3</v>
      </c>
      <c r="P245">
        <f t="shared" si="53"/>
        <v>-1.8599201435691715E-3</v>
      </c>
      <c r="Q245">
        <f t="shared" si="54"/>
        <v>-4.1723192081655203E-3</v>
      </c>
      <c r="R245">
        <f t="shared" si="49"/>
        <v>-4.3243831348409589E-3</v>
      </c>
      <c r="S245" s="3">
        <f t="shared" si="55"/>
        <v>2.5615923865330566E-2</v>
      </c>
      <c r="T245" s="3">
        <f t="shared" si="46"/>
        <v>4.3672936703467724E-4</v>
      </c>
      <c r="V245" t="str">
        <f t="shared" si="47"/>
        <v>111</v>
      </c>
    </row>
    <row r="246" spans="1:22">
      <c r="A246" s="1">
        <v>45645</v>
      </c>
      <c r="B246" t="s">
        <v>7</v>
      </c>
      <c r="C246">
        <v>591.35998540000003</v>
      </c>
      <c r="D246">
        <v>593</v>
      </c>
      <c r="E246">
        <v>585.84997559999999</v>
      </c>
      <c r="F246">
        <v>586.09997559999999</v>
      </c>
      <c r="G246">
        <v>85919500</v>
      </c>
      <c r="H246">
        <f t="shared" si="50"/>
        <v>601.18000487999996</v>
      </c>
      <c r="I246">
        <f t="shared" si="56"/>
        <v>601.48749999999995</v>
      </c>
      <c r="J246" s="4">
        <f t="shared" si="43"/>
        <v>586.95145046935488</v>
      </c>
      <c r="K246">
        <f t="shared" si="48"/>
        <v>-5.9735532868668232E-3</v>
      </c>
      <c r="L246">
        <f t="shared" si="51"/>
        <v>-3.573218204911072E-4</v>
      </c>
      <c r="M246" s="3">
        <f t="shared" si="44"/>
        <v>4.859552284243524E-4</v>
      </c>
      <c r="N246" t="str">
        <f t="shared" ca="1" si="45"/>
        <v>buy</v>
      </c>
      <c r="O246">
        <f t="shared" si="52"/>
        <v>-1.6334574337614649E-2</v>
      </c>
      <c r="P246">
        <f t="shared" si="53"/>
        <v>-2.4784549484432872E-2</v>
      </c>
      <c r="Q246">
        <f t="shared" si="54"/>
        <v>-2.5433298106865676E-2</v>
      </c>
      <c r="R246">
        <f t="shared" si="49"/>
        <v>-2.1260978898700156E-2</v>
      </c>
      <c r="S246" s="3">
        <f t="shared" si="55"/>
        <v>2.4765335393619595E-2</v>
      </c>
      <c r="T246" s="3">
        <f t="shared" si="46"/>
        <v>-8.5058847171097171E-4</v>
      </c>
      <c r="V246" t="str">
        <f t="shared" si="47"/>
        <v>11-1</v>
      </c>
    </row>
    <row r="247" spans="1:22">
      <c r="A247" s="1">
        <v>45646</v>
      </c>
      <c r="B247" t="s">
        <v>7</v>
      </c>
      <c r="C247">
        <v>581.77001949999999</v>
      </c>
      <c r="D247">
        <v>595.75</v>
      </c>
      <c r="E247">
        <v>580.9099731</v>
      </c>
      <c r="F247">
        <v>591.15002440000001</v>
      </c>
      <c r="G247">
        <v>125716700</v>
      </c>
      <c r="H247">
        <f t="shared" si="50"/>
        <v>597.53399658000001</v>
      </c>
      <c r="I247">
        <f t="shared" si="56"/>
        <v>601.26749877999998</v>
      </c>
      <c r="J247" s="4">
        <f t="shared" si="43"/>
        <v>587.21645035161305</v>
      </c>
      <c r="K247">
        <f t="shared" si="48"/>
        <v>-5.9946196655440414E-3</v>
      </c>
      <c r="L247">
        <f t="shared" si="51"/>
        <v>-6.3756022015982257E-4</v>
      </c>
      <c r="M247" s="3">
        <f t="shared" si="44"/>
        <v>4.3176346683151864E-4</v>
      </c>
      <c r="N247" t="str">
        <f t="shared" ca="1" si="45"/>
        <v>buy</v>
      </c>
      <c r="O247">
        <f t="shared" si="52"/>
        <v>-2.6381724170048138E-2</v>
      </c>
      <c r="P247">
        <f t="shared" si="53"/>
        <v>-1.9135348022778498E-2</v>
      </c>
      <c r="Q247">
        <f t="shared" si="54"/>
        <v>-1.9553734259261879E-2</v>
      </c>
      <c r="R247">
        <f t="shared" si="49"/>
        <v>5.879563847603797E-3</v>
      </c>
      <c r="S247" s="3">
        <f t="shared" si="55"/>
        <v>2.3928226840330271E-2</v>
      </c>
      <c r="T247" s="3">
        <f t="shared" si="46"/>
        <v>-8.3710855328932368E-4</v>
      </c>
      <c r="V247" t="str">
        <f t="shared" si="47"/>
        <v>11-1</v>
      </c>
    </row>
    <row r="248" spans="1:22">
      <c r="A248" s="1">
        <v>45649</v>
      </c>
      <c r="B248" t="s">
        <v>7</v>
      </c>
      <c r="C248">
        <v>590.89001459999997</v>
      </c>
      <c r="D248">
        <v>595.29998780000005</v>
      </c>
      <c r="E248">
        <v>587.6599731</v>
      </c>
      <c r="F248">
        <v>594.69000240000003</v>
      </c>
      <c r="G248">
        <v>57635800</v>
      </c>
      <c r="H248">
        <f t="shared" si="50"/>
        <v>594.92199705999997</v>
      </c>
      <c r="I248">
        <f t="shared" si="56"/>
        <v>601.141500855</v>
      </c>
      <c r="J248" s="4">
        <f t="shared" si="43"/>
        <v>587.53661223225799</v>
      </c>
      <c r="K248">
        <f t="shared" si="48"/>
        <v>-5.1549808556660155E-3</v>
      </c>
      <c r="L248">
        <f t="shared" si="51"/>
        <v>-3.6607154609074612E-4</v>
      </c>
      <c r="M248" s="3">
        <f t="shared" si="44"/>
        <v>6.1720952958612741E-4</v>
      </c>
      <c r="N248" t="str">
        <f t="shared" ca="1" si="45"/>
        <v>wait</v>
      </c>
      <c r="O248">
        <f t="shared" si="52"/>
        <v>-6.7773295993850402E-3</v>
      </c>
      <c r="P248">
        <f t="shared" si="53"/>
        <v>-6.3402810429609158E-3</v>
      </c>
      <c r="Q248">
        <f t="shared" si="54"/>
        <v>-2.3552707799081141E-2</v>
      </c>
      <c r="R248">
        <f t="shared" si="49"/>
        <v>-3.9989735398192616E-3</v>
      </c>
      <c r="S248" s="3">
        <f t="shared" si="55"/>
        <v>2.3155814190118737E-2</v>
      </c>
      <c r="T248" s="3">
        <f t="shared" si="46"/>
        <v>-7.7241265021153402E-4</v>
      </c>
      <c r="V248" t="str">
        <f t="shared" si="47"/>
        <v>11-1</v>
      </c>
    </row>
    <row r="249" spans="1:22">
      <c r="A249" s="1">
        <v>45650</v>
      </c>
      <c r="B249" t="s">
        <v>7</v>
      </c>
      <c r="C249">
        <v>596.05999759999997</v>
      </c>
      <c r="D249">
        <v>601.3400269</v>
      </c>
      <c r="E249">
        <v>595.46997069999998</v>
      </c>
      <c r="F249">
        <v>601.29998780000005</v>
      </c>
      <c r="G249">
        <v>33160100</v>
      </c>
      <c r="H249">
        <f t="shared" si="50"/>
        <v>592.50200194000001</v>
      </c>
      <c r="I249">
        <f t="shared" si="56"/>
        <v>601.10050048500011</v>
      </c>
      <c r="J249" s="4">
        <f t="shared" si="43"/>
        <v>587.93419327096785</v>
      </c>
      <c r="K249">
        <f t="shared" si="48"/>
        <v>-3.1772744707012149E-3</v>
      </c>
      <c r="L249">
        <f t="shared" si="51"/>
        <v>-2.3764721108050909E-4</v>
      </c>
      <c r="M249" s="3">
        <f t="shared" si="44"/>
        <v>6.5204773362743636E-4</v>
      </c>
      <c r="N249" t="str">
        <f t="shared" ca="1" si="45"/>
        <v>wait</v>
      </c>
      <c r="O249">
        <f t="shared" si="52"/>
        <v>6.0050356764200785E-3</v>
      </c>
      <c r="P249">
        <f t="shared" si="53"/>
        <v>3.6928153033002342E-3</v>
      </c>
      <c r="Q249">
        <f t="shared" si="54"/>
        <v>-8.1721729616879291E-3</v>
      </c>
      <c r="R249">
        <f t="shared" si="49"/>
        <v>1.5380534837393212E-2</v>
      </c>
      <c r="S249" s="3">
        <f t="shared" si="55"/>
        <v>2.2394185207670263E-2</v>
      </c>
      <c r="T249" s="3">
        <f t="shared" si="46"/>
        <v>-7.6162898244847357E-4</v>
      </c>
      <c r="V249" t="str">
        <f t="shared" si="47"/>
        <v>11-1</v>
      </c>
    </row>
    <row r="250" spans="1:22">
      <c r="A250" s="1">
        <v>45652</v>
      </c>
      <c r="B250" t="s">
        <v>7</v>
      </c>
      <c r="C250">
        <v>599.5</v>
      </c>
      <c r="D250">
        <v>602.47998050000001</v>
      </c>
      <c r="E250">
        <v>598.08001709999996</v>
      </c>
      <c r="F250">
        <v>601.3400269</v>
      </c>
      <c r="G250">
        <v>41219100</v>
      </c>
      <c r="H250">
        <f t="shared" si="50"/>
        <v>591.90400390000002</v>
      </c>
      <c r="I250">
        <f t="shared" si="56"/>
        <v>601.2889984100002</v>
      </c>
      <c r="J250" s="4">
        <f t="shared" si="43"/>
        <v>588.40193520645141</v>
      </c>
      <c r="K250">
        <f t="shared" si="48"/>
        <v>5.1238172031659989E-3</v>
      </c>
      <c r="L250">
        <f t="shared" si="51"/>
        <v>5.4105000715625284E-5</v>
      </c>
      <c r="M250" s="3">
        <f t="shared" si="44"/>
        <v>8.6997913653745018E-4</v>
      </c>
      <c r="N250" t="str">
        <f t="shared" ca="1" si="45"/>
        <v>wait</v>
      </c>
      <c r="O250">
        <f t="shared" si="52"/>
        <v>1.2833155460937329E-2</v>
      </c>
      <c r="P250">
        <f t="shared" si="53"/>
        <v>1.5874168510587428E-2</v>
      </c>
      <c r="Q250">
        <f t="shared" si="54"/>
        <v>6.0245694850924458E-3</v>
      </c>
      <c r="R250">
        <f t="shared" si="49"/>
        <v>1.4196742446780375E-2</v>
      </c>
      <c r="S250" s="3">
        <f t="shared" si="55"/>
        <v>2.1901802887557012E-2</v>
      </c>
      <c r="T250" s="3">
        <f t="shared" si="46"/>
        <v>-4.9238232011325142E-4</v>
      </c>
      <c r="V250" t="str">
        <f t="shared" si="47"/>
        <v>11-1</v>
      </c>
    </row>
    <row r="251" spans="1:22">
      <c r="A251" s="1">
        <v>45653</v>
      </c>
      <c r="B251" t="s">
        <v>7</v>
      </c>
      <c r="C251">
        <v>597.53997800000002</v>
      </c>
      <c r="D251">
        <v>597.78002930000002</v>
      </c>
      <c r="E251">
        <v>590.76000980000003</v>
      </c>
      <c r="F251">
        <v>595.01000980000003</v>
      </c>
      <c r="G251">
        <v>64969300</v>
      </c>
      <c r="H251">
        <f t="shared" si="50"/>
        <v>594.91600342000004</v>
      </c>
      <c r="I251">
        <f t="shared" si="56"/>
        <v>601.32349853500011</v>
      </c>
      <c r="J251" s="4">
        <f t="shared" si="43"/>
        <v>588.88371030645146</v>
      </c>
      <c r="K251">
        <f t="shared" si="48"/>
        <v>5.2004954562226407E-3</v>
      </c>
      <c r="L251">
        <f t="shared" si="51"/>
        <v>2.0957615085458233E-4</v>
      </c>
      <c r="M251" s="3">
        <f t="shared" si="44"/>
        <v>8.0114846593595075E-4</v>
      </c>
      <c r="N251" t="str">
        <f t="shared" ca="1" si="45"/>
        <v>wait</v>
      </c>
      <c r="O251">
        <f t="shared" si="52"/>
        <v>4.4106639675440817E-3</v>
      </c>
      <c r="P251">
        <f t="shared" si="53"/>
        <v>1.0798202507698695E-2</v>
      </c>
      <c r="Q251">
        <f t="shared" si="54"/>
        <v>5.3184208557357504E-3</v>
      </c>
      <c r="R251">
        <f t="shared" si="49"/>
        <v>-7.0614862935669542E-4</v>
      </c>
      <c r="S251" s="3">
        <f t="shared" si="55"/>
        <v>2.1124354453742764E-2</v>
      </c>
      <c r="T251" s="3">
        <f t="shared" si="46"/>
        <v>-7.7744843381424844E-4</v>
      </c>
      <c r="V251" t="str">
        <f t="shared" si="47"/>
        <v>11-1</v>
      </c>
    </row>
    <row r="252" spans="1:22">
      <c r="A252" s="1">
        <v>45656</v>
      </c>
      <c r="B252" t="s">
        <v>7</v>
      </c>
      <c r="C252">
        <v>587.89001459999997</v>
      </c>
      <c r="D252">
        <v>591.73999019999997</v>
      </c>
      <c r="E252">
        <v>584.4099731</v>
      </c>
      <c r="F252">
        <v>588.21997069999998</v>
      </c>
      <c r="G252">
        <v>56578800</v>
      </c>
      <c r="H252">
        <f t="shared" si="50"/>
        <v>596.69801026000005</v>
      </c>
      <c r="I252">
        <f t="shared" si="56"/>
        <v>601.13249817000008</v>
      </c>
      <c r="J252" s="4">
        <f t="shared" si="43"/>
        <v>589.22645224193536</v>
      </c>
      <c r="K252">
        <f t="shared" si="48"/>
        <v>1.3059241277771408E-3</v>
      </c>
      <c r="L252">
        <f t="shared" si="51"/>
        <v>-6.2567240500075393E-4</v>
      </c>
      <c r="M252" s="3">
        <f t="shared" si="44"/>
        <v>7.7351057318338437E-4</v>
      </c>
      <c r="N252" t="str">
        <f t="shared" ca="1" si="45"/>
        <v>wait</v>
      </c>
      <c r="O252">
        <f t="shared" si="52"/>
        <v>-1.4761228474956978E-2</v>
      </c>
      <c r="P252">
        <f t="shared" si="53"/>
        <v>-2.8289024447467614E-3</v>
      </c>
      <c r="Q252">
        <f t="shared" si="54"/>
        <v>-9.9514333178564174E-3</v>
      </c>
      <c r="R252">
        <f t="shared" si="49"/>
        <v>-1.5269854173592168E-2</v>
      </c>
      <c r="S252" s="3">
        <f t="shared" si="55"/>
        <v>2.0206231208330261E-2</v>
      </c>
      <c r="T252" s="3">
        <f t="shared" si="46"/>
        <v>-9.1812324541250268E-4</v>
      </c>
      <c r="V252" t="str">
        <f t="shared" si="47"/>
        <v>11-1</v>
      </c>
    </row>
    <row r="253" spans="1:22">
      <c r="A253" s="1">
        <v>45657</v>
      </c>
      <c r="B253" t="s">
        <v>7</v>
      </c>
      <c r="C253">
        <v>589.9099731</v>
      </c>
      <c r="D253">
        <v>590.64001459999997</v>
      </c>
      <c r="E253">
        <v>584.41998290000004</v>
      </c>
      <c r="F253">
        <v>586.08001709999996</v>
      </c>
      <c r="G253">
        <v>57052700</v>
      </c>
      <c r="H253">
        <f t="shared" si="50"/>
        <v>596.11199952000004</v>
      </c>
      <c r="I253">
        <f t="shared" si="56"/>
        <v>600.41599731500003</v>
      </c>
      <c r="J253" s="4">
        <f t="shared" si="43"/>
        <v>589.54258088064512</v>
      </c>
      <c r="K253">
        <f t="shared" si="48"/>
        <v>-2.1759342426773071E-3</v>
      </c>
      <c r="L253">
        <f t="shared" si="51"/>
        <v>-1.276447001880973E-3</v>
      </c>
      <c r="M253" s="3">
        <f t="shared" si="44"/>
        <v>5.6721588782480362E-4</v>
      </c>
      <c r="N253" t="str">
        <f t="shared" ca="1" si="45"/>
        <v>wait</v>
      </c>
      <c r="O253">
        <f t="shared" si="52"/>
        <v>-1.0404129467271317E-2</v>
      </c>
      <c r="P253">
        <f t="shared" si="53"/>
        <v>-1.3239171206677391E-2</v>
      </c>
      <c r="Q253">
        <f t="shared" si="54"/>
        <v>-1.9630583563865045E-2</v>
      </c>
      <c r="R253">
        <f t="shared" si="49"/>
        <v>-9.6791502460086276E-3</v>
      </c>
      <c r="S253" s="3">
        <f t="shared" si="55"/>
        <v>1.8443818626489115E-2</v>
      </c>
      <c r="T253" s="3">
        <f t="shared" si="46"/>
        <v>-1.7624125818411461E-3</v>
      </c>
      <c r="V253" t="str">
        <f t="shared" si="47"/>
        <v>11-1</v>
      </c>
    </row>
    <row r="254" spans="1:22">
      <c r="A254" s="1">
        <v>45659</v>
      </c>
      <c r="B254" t="s">
        <v>7</v>
      </c>
      <c r="C254">
        <v>589.39001459999997</v>
      </c>
      <c r="D254">
        <v>591.13000490000002</v>
      </c>
      <c r="E254">
        <v>580.5</v>
      </c>
      <c r="F254">
        <v>584.64001459999997</v>
      </c>
      <c r="G254">
        <v>50204000</v>
      </c>
      <c r="H254">
        <f t="shared" si="50"/>
        <v>594.39000246000001</v>
      </c>
      <c r="I254">
        <f t="shared" si="56"/>
        <v>599.538497925</v>
      </c>
      <c r="J254" s="4">
        <f t="shared" si="43"/>
        <v>589.82032332741915</v>
      </c>
      <c r="K254">
        <f t="shared" si="48"/>
        <v>-5.0623552332625171E-3</v>
      </c>
      <c r="L254">
        <f t="shared" si="51"/>
        <v>-1.4762097658757838E-3</v>
      </c>
      <c r="M254" s="3">
        <f t="shared" si="44"/>
        <v>5.359682518299762E-4</v>
      </c>
      <c r="N254" t="str">
        <f t="shared" ca="1" si="45"/>
        <v>wait</v>
      </c>
      <c r="O254">
        <f t="shared" si="52"/>
        <v>-8.4119649376782624E-3</v>
      </c>
      <c r="P254">
        <f t="shared" si="53"/>
        <v>-1.3980695041315494E-2</v>
      </c>
      <c r="Q254">
        <f t="shared" si="54"/>
        <v>-1.6773531719472157E-2</v>
      </c>
      <c r="R254">
        <f t="shared" si="49"/>
        <v>2.8570518443928883E-3</v>
      </c>
      <c r="S254" s="3">
        <f t="shared" si="55"/>
        <v>1.6476500068286278E-2</v>
      </c>
      <c r="T254" s="3">
        <f t="shared" si="46"/>
        <v>-1.9673185582028373E-3</v>
      </c>
      <c r="V254" t="str">
        <f t="shared" si="47"/>
        <v>11-1</v>
      </c>
    </row>
    <row r="255" spans="1:22">
      <c r="A255" s="1">
        <v>45660</v>
      </c>
      <c r="B255" t="s">
        <v>7</v>
      </c>
      <c r="C255">
        <v>587.53002930000002</v>
      </c>
      <c r="D255">
        <v>592.59997559999999</v>
      </c>
      <c r="E255">
        <v>586.42999269999996</v>
      </c>
      <c r="F255">
        <v>591.95001219999995</v>
      </c>
      <c r="G255">
        <v>37888500</v>
      </c>
      <c r="H255">
        <f t="shared" si="50"/>
        <v>591.05800782000006</v>
      </c>
      <c r="I255">
        <f t="shared" si="56"/>
        <v>598.57499999999993</v>
      </c>
      <c r="J255" s="4">
        <f t="shared" ref="J255:J318" si="57">AVERAGE(F193:F254)</f>
        <v>590.09161376774193</v>
      </c>
      <c r="K255">
        <f t="shared" si="48"/>
        <v>-5.5542659902721421E-3</v>
      </c>
      <c r="L255">
        <f t="shared" si="51"/>
        <v>-1.8941480037398921E-3</v>
      </c>
      <c r="M255" s="3">
        <f t="shared" si="44"/>
        <v>3.3916351055945145E-4</v>
      </c>
      <c r="N255" t="str">
        <f t="shared" ca="1" si="45"/>
        <v>wait</v>
      </c>
      <c r="O255">
        <f t="shared" si="52"/>
        <v>-5.9689209406235122E-3</v>
      </c>
      <c r="P255">
        <f t="shared" si="53"/>
        <v>-1.0858482814016135E-2</v>
      </c>
      <c r="Q255">
        <f t="shared" si="54"/>
        <v>-1.7862896163002961E-2</v>
      </c>
      <c r="R255">
        <f t="shared" si="49"/>
        <v>-1.0893644435308047E-3</v>
      </c>
      <c r="S255" s="3">
        <f t="shared" si="55"/>
        <v>1.437638840194911E-2</v>
      </c>
      <c r="T255" s="3">
        <f t="shared" si="46"/>
        <v>-2.1001116663371677E-3</v>
      </c>
      <c r="V255" t="str">
        <f t="shared" si="47"/>
        <v>11-1</v>
      </c>
    </row>
    <row r="256" spans="1:22">
      <c r="A256" s="1">
        <v>45663</v>
      </c>
      <c r="B256" t="s">
        <v>7</v>
      </c>
      <c r="C256">
        <v>596.27001949999999</v>
      </c>
      <c r="D256">
        <v>599.70001219999995</v>
      </c>
      <c r="E256">
        <v>593.59997559999999</v>
      </c>
      <c r="F256">
        <v>595.35998540000003</v>
      </c>
      <c r="G256">
        <v>47679400</v>
      </c>
      <c r="H256">
        <f t="shared" si="50"/>
        <v>589.18000487999996</v>
      </c>
      <c r="I256">
        <f t="shared" si="56"/>
        <v>597.78950195499999</v>
      </c>
      <c r="J256" s="4">
        <f t="shared" si="57"/>
        <v>590.39758202096766</v>
      </c>
      <c r="K256">
        <f t="shared" si="48"/>
        <v>-1.0285533182974992E-3</v>
      </c>
      <c r="L256">
        <f t="shared" si="51"/>
        <v>-1.2123727913705056E-3</v>
      </c>
      <c r="M256" s="3">
        <f t="shared" si="44"/>
        <v>7.0887709636309514E-4</v>
      </c>
      <c r="N256" t="str">
        <f t="shared" ca="1" si="45"/>
        <v>wait</v>
      </c>
      <c r="O256">
        <f t="shared" si="52"/>
        <v>1.2033698634162038E-2</v>
      </c>
      <c r="P256">
        <f t="shared" si="53"/>
        <v>4.7014618572538414E-3</v>
      </c>
      <c r="Q256">
        <f t="shared" si="54"/>
        <v>-4.6675246227341205E-3</v>
      </c>
      <c r="R256">
        <f t="shared" si="49"/>
        <v>1.3195371540268841E-2</v>
      </c>
      <c r="S256" s="3">
        <f t="shared" si="55"/>
        <v>1.2520240866721251E-2</v>
      </c>
      <c r="T256" s="3">
        <f t="shared" si="46"/>
        <v>-1.8561475352278593E-3</v>
      </c>
      <c r="V256" t="str">
        <f t="shared" si="47"/>
        <v>11-1</v>
      </c>
    </row>
    <row r="257" spans="1:22">
      <c r="A257" s="1">
        <v>45664</v>
      </c>
      <c r="B257" t="s">
        <v>7</v>
      </c>
      <c r="C257">
        <v>597.41998290000004</v>
      </c>
      <c r="D257">
        <v>597.75</v>
      </c>
      <c r="E257">
        <v>586.78002930000002</v>
      </c>
      <c r="F257">
        <v>588.63000490000002</v>
      </c>
      <c r="G257">
        <v>60393100</v>
      </c>
      <c r="H257">
        <f t="shared" si="50"/>
        <v>589.25</v>
      </c>
      <c r="I257">
        <f t="shared" si="56"/>
        <v>597.22450256999991</v>
      </c>
      <c r="J257" s="4">
        <f t="shared" si="57"/>
        <v>590.84209811129051</v>
      </c>
      <c r="K257">
        <f t="shared" si="48"/>
        <v>2.4276682382963683E-3</v>
      </c>
      <c r="L257">
        <f t="shared" si="51"/>
        <v>-1.0241697445879546E-3</v>
      </c>
      <c r="M257" s="3">
        <f t="shared" ref="M257:M320" si="58">(F256-F195)/F195/60</f>
        <v>6.4524205041024279E-4</v>
      </c>
      <c r="N257" t="str">
        <f t="shared" ref="N257:N320" ca="1" si="59">IF(AND((F256-H257) / H257&lt;= -0.0155, G256/ AVERAGE(OFFSET(G256,-19,0,20,1)) &gt;= 1.58), "buy", "wait")</f>
        <v>wait</v>
      </c>
      <c r="O257">
        <f t="shared" si="52"/>
        <v>1.3865053712346365E-2</v>
      </c>
      <c r="P257">
        <f t="shared" si="53"/>
        <v>1.0369088502333534E-2</v>
      </c>
      <c r="Q257">
        <f t="shared" si="54"/>
        <v>7.3822241832837143E-3</v>
      </c>
      <c r="R257">
        <f t="shared" si="49"/>
        <v>1.2049748806017835E-2</v>
      </c>
      <c r="S257" s="3">
        <f t="shared" si="55"/>
        <v>1.080221683443284E-2</v>
      </c>
      <c r="T257" s="3">
        <f t="shared" si="46"/>
        <v>-1.7180240322884101E-3</v>
      </c>
      <c r="V257" t="str">
        <f t="shared" si="47"/>
        <v>11-1</v>
      </c>
    </row>
    <row r="258" spans="1:22">
      <c r="A258" s="1">
        <v>45665</v>
      </c>
      <c r="B258" t="s">
        <v>7</v>
      </c>
      <c r="C258">
        <v>588.70001219999995</v>
      </c>
      <c r="D258">
        <v>590.58001709999996</v>
      </c>
      <c r="E258">
        <v>585.20001219999995</v>
      </c>
      <c r="F258">
        <v>589.48999019999997</v>
      </c>
      <c r="G258">
        <v>47304700</v>
      </c>
      <c r="H258">
        <f t="shared" si="50"/>
        <v>589.33200684000008</v>
      </c>
      <c r="I258">
        <f t="shared" si="56"/>
        <v>596.26550293499986</v>
      </c>
      <c r="J258" s="4">
        <f t="shared" si="57"/>
        <v>591.09145330483886</v>
      </c>
      <c r="K258">
        <f t="shared" si="48"/>
        <v>8.7018418154494474E-4</v>
      </c>
      <c r="L258">
        <f t="shared" si="51"/>
        <v>-1.3271472509230864E-3</v>
      </c>
      <c r="M258" s="3">
        <f t="shared" si="58"/>
        <v>3.3180828479906633E-4</v>
      </c>
      <c r="N258" t="str">
        <f t="shared" ca="1" si="59"/>
        <v>wait</v>
      </c>
      <c r="O258">
        <f t="shared" si="52"/>
        <v>-1.0723915088014513E-3</v>
      </c>
      <c r="P258">
        <f t="shared" si="53"/>
        <v>-1.1911824436011687E-3</v>
      </c>
      <c r="Q258">
        <f t="shared" si="54"/>
        <v>-4.3302883779955392E-3</v>
      </c>
      <c r="R258">
        <f t="shared" si="49"/>
        <v>-1.1712512561279254E-2</v>
      </c>
      <c r="S258" s="3">
        <f t="shared" si="55"/>
        <v>8.7533825793495654E-3</v>
      </c>
      <c r="T258" s="3">
        <f t="shared" ref="T258:T321" si="60">S258-S257</f>
        <v>-2.0488342550832751E-3</v>
      </c>
      <c r="V258" t="str">
        <f t="shared" ref="V258:V321" si="61">SIGN(M258)&amp;SIGN(S258)&amp;SIGN(T258)</f>
        <v>11-1</v>
      </c>
    </row>
    <row r="259" spans="1:22">
      <c r="A259" s="1">
        <v>45667</v>
      </c>
      <c r="B259" t="s">
        <v>7</v>
      </c>
      <c r="C259">
        <v>585.88000490000002</v>
      </c>
      <c r="D259">
        <v>585.95001219999995</v>
      </c>
      <c r="E259">
        <v>578.54998780000005</v>
      </c>
      <c r="F259">
        <v>580.48999019999997</v>
      </c>
      <c r="G259">
        <v>73105000</v>
      </c>
      <c r="H259">
        <f t="shared" si="50"/>
        <v>590.01400145999992</v>
      </c>
      <c r="I259">
        <f t="shared" si="56"/>
        <v>595.50600280999993</v>
      </c>
      <c r="J259" s="4">
        <f t="shared" si="57"/>
        <v>591.29064645967753</v>
      </c>
      <c r="K259">
        <f t="shared" si="48"/>
        <v>1.6591322793114865E-3</v>
      </c>
      <c r="L259">
        <f t="shared" si="51"/>
        <v>-1.1040144218131722E-3</v>
      </c>
      <c r="M259" s="3">
        <f t="shared" si="58"/>
        <v>3.8648641760172594E-4</v>
      </c>
      <c r="N259" t="str">
        <f t="shared" ca="1" si="59"/>
        <v>wait</v>
      </c>
      <c r="O259">
        <f t="shared" si="52"/>
        <v>-7.0066075546856288E-3</v>
      </c>
      <c r="P259">
        <f t="shared" si="53"/>
        <v>-8.8813360141160036E-4</v>
      </c>
      <c r="Q259">
        <f t="shared" si="54"/>
        <v>-8.159110204313258E-3</v>
      </c>
      <c r="R259">
        <f t="shared" si="49"/>
        <v>-3.8288218263177187E-3</v>
      </c>
      <c r="S259" s="3">
        <f t="shared" si="55"/>
        <v>7.1290766657000669E-3</v>
      </c>
      <c r="T259" s="3">
        <f t="shared" si="60"/>
        <v>-1.6243059136494984E-3</v>
      </c>
      <c r="V259" t="str">
        <f t="shared" si="61"/>
        <v>11-1</v>
      </c>
    </row>
    <row r="260" spans="1:22">
      <c r="A260" s="1">
        <v>45670</v>
      </c>
      <c r="B260" t="s">
        <v>7</v>
      </c>
      <c r="C260">
        <v>575.77001949999999</v>
      </c>
      <c r="D260">
        <v>581.75</v>
      </c>
      <c r="E260">
        <v>575.34997559999999</v>
      </c>
      <c r="F260">
        <v>581.39001459999997</v>
      </c>
      <c r="G260">
        <v>47910100</v>
      </c>
      <c r="H260">
        <f t="shared" si="50"/>
        <v>589.18399657999998</v>
      </c>
      <c r="I260">
        <f t="shared" si="56"/>
        <v>594.39050293000003</v>
      </c>
      <c r="J260" s="4">
        <f t="shared" si="57"/>
        <v>591.360968803226</v>
      </c>
      <c r="K260">
        <f t="shared" si="48"/>
        <v>-3.8719559975709658E-3</v>
      </c>
      <c r="L260">
        <f t="shared" si="51"/>
        <v>-2.2199017896851834E-3</v>
      </c>
      <c r="M260" s="3">
        <f t="shared" si="58"/>
        <v>2.6167600479428895E-5</v>
      </c>
      <c r="N260" t="str">
        <f t="shared" ca="1" si="59"/>
        <v>wait</v>
      </c>
      <c r="O260">
        <f t="shared" si="52"/>
        <v>-2.2767042482252253E-2</v>
      </c>
      <c r="P260">
        <f t="shared" si="53"/>
        <v>-1.4756012434936405E-2</v>
      </c>
      <c r="Q260">
        <f t="shared" si="54"/>
        <v>-1.8048706077772869E-2</v>
      </c>
      <c r="R260">
        <f t="shared" si="49"/>
        <v>-9.8895958734596112E-3</v>
      </c>
      <c r="S260" s="3">
        <f t="shared" si="55"/>
        <v>5.1229862750412506E-3</v>
      </c>
      <c r="T260" s="3">
        <f t="shared" si="60"/>
        <v>-2.0060903906588164E-3</v>
      </c>
      <c r="V260" t="str">
        <f t="shared" si="61"/>
        <v>11-1</v>
      </c>
    </row>
    <row r="261" spans="1:22">
      <c r="A261" s="1">
        <v>45671</v>
      </c>
      <c r="B261" t="s">
        <v>7</v>
      </c>
      <c r="C261">
        <v>584.35998540000003</v>
      </c>
      <c r="D261">
        <v>585</v>
      </c>
      <c r="E261">
        <v>578.34997559999999</v>
      </c>
      <c r="F261">
        <v>582.19000240000003</v>
      </c>
      <c r="G261">
        <v>48420600</v>
      </c>
      <c r="H261">
        <f t="shared" si="50"/>
        <v>587.07199706000006</v>
      </c>
      <c r="I261">
        <f t="shared" si="56"/>
        <v>593.08700255999997</v>
      </c>
      <c r="J261" s="4">
        <f t="shared" si="57"/>
        <v>591.39016231129051</v>
      </c>
      <c r="K261">
        <f t="shared" si="48"/>
        <v>-4.6929491879149909E-3</v>
      </c>
      <c r="L261">
        <f t="shared" si="51"/>
        <v>-1.8979698054783247E-3</v>
      </c>
      <c r="M261" s="3">
        <f t="shared" si="58"/>
        <v>-8.3572718812614661E-5</v>
      </c>
      <c r="N261" t="str">
        <f t="shared" ca="1" si="59"/>
        <v>wait</v>
      </c>
      <c r="O261">
        <f t="shared" si="52"/>
        <v>-4.6195554780018577E-3</v>
      </c>
      <c r="P261">
        <f t="shared" si="53"/>
        <v>-9.678510452644451E-3</v>
      </c>
      <c r="Q261">
        <f t="shared" si="54"/>
        <v>-1.9966923169053907E-2</v>
      </c>
      <c r="R261">
        <f t="shared" si="49"/>
        <v>-1.9182170912810381E-3</v>
      </c>
      <c r="S261" s="3">
        <f t="shared" si="55"/>
        <v>2.8692398975285905E-3</v>
      </c>
      <c r="T261" s="3">
        <f t="shared" si="60"/>
        <v>-2.2537463775126601E-3</v>
      </c>
      <c r="V261" t="str">
        <f t="shared" si="61"/>
        <v>-11-1</v>
      </c>
    </row>
    <row r="262" spans="1:22">
      <c r="A262" s="1">
        <v>45672</v>
      </c>
      <c r="B262" t="s">
        <v>7</v>
      </c>
      <c r="C262">
        <v>590.33001709999996</v>
      </c>
      <c r="D262">
        <v>593.94000240000003</v>
      </c>
      <c r="E262">
        <v>589.20001219999995</v>
      </c>
      <c r="F262">
        <v>592.78002930000002</v>
      </c>
      <c r="G262">
        <v>56900200</v>
      </c>
      <c r="H262">
        <f t="shared" si="50"/>
        <v>584.43800046000001</v>
      </c>
      <c r="I262">
        <f t="shared" si="56"/>
        <v>591.98000182500004</v>
      </c>
      <c r="J262" s="4">
        <f t="shared" si="57"/>
        <v>591.35580739354862</v>
      </c>
      <c r="K262">
        <f t="shared" si="48"/>
        <v>-2.1881325948017406E-3</v>
      </c>
      <c r="L262">
        <f t="shared" si="51"/>
        <v>-1.8222156864521485E-3</v>
      </c>
      <c r="M262" s="3">
        <f t="shared" si="58"/>
        <v>6.9278375079300731E-5</v>
      </c>
      <c r="N262" t="str">
        <f t="shared" ca="1" si="59"/>
        <v>wait</v>
      </c>
      <c r="O262">
        <f t="shared" si="52"/>
        <v>1.0081508449762744E-2</v>
      </c>
      <c r="P262">
        <f t="shared" si="53"/>
        <v>-3.8464269233531301E-3</v>
      </c>
      <c r="Q262">
        <f t="shared" si="54"/>
        <v>-1.0416887428962962E-2</v>
      </c>
      <c r="R262">
        <f t="shared" si="49"/>
        <v>9.5500357400909452E-3</v>
      </c>
      <c r="S262" s="3">
        <f t="shared" si="55"/>
        <v>1.0555310756186177E-3</v>
      </c>
      <c r="T262" s="3">
        <f t="shared" si="60"/>
        <v>-1.8137088219099728E-3</v>
      </c>
      <c r="V262" t="str">
        <f t="shared" si="61"/>
        <v>11-1</v>
      </c>
    </row>
    <row r="263" spans="1:22">
      <c r="A263" s="1">
        <v>45673</v>
      </c>
      <c r="B263" t="s">
        <v>7</v>
      </c>
      <c r="C263">
        <v>594.16998290000004</v>
      </c>
      <c r="D263">
        <v>594.34997559999999</v>
      </c>
      <c r="E263">
        <v>590.92999269999996</v>
      </c>
      <c r="F263">
        <v>591.64001459999997</v>
      </c>
      <c r="G263">
        <v>43319700</v>
      </c>
      <c r="H263">
        <f t="shared" si="50"/>
        <v>585.26800534000006</v>
      </c>
      <c r="I263">
        <f t="shared" si="56"/>
        <v>591.40850219000004</v>
      </c>
      <c r="J263" s="4">
        <f t="shared" si="57"/>
        <v>591.56548481290326</v>
      </c>
      <c r="K263">
        <f t="shared" si="48"/>
        <v>1.1162323889109046E-3</v>
      </c>
      <c r="L263">
        <f t="shared" si="51"/>
        <v>-1.1544314514040964E-3</v>
      </c>
      <c r="M263" s="3">
        <f t="shared" si="58"/>
        <v>2.999611231201417E-4</v>
      </c>
      <c r="N263" t="str">
        <f t="shared" ca="1" si="59"/>
        <v>wait</v>
      </c>
      <c r="O263">
        <f t="shared" si="52"/>
        <v>1.5210087479202938E-2</v>
      </c>
      <c r="P263">
        <f t="shared" si="53"/>
        <v>1.2835186429909218E-2</v>
      </c>
      <c r="Q263">
        <f t="shared" si="54"/>
        <v>6.7183014005962605E-3</v>
      </c>
      <c r="R263">
        <f t="shared" si="49"/>
        <v>1.7135188829559223E-2</v>
      </c>
      <c r="S263" s="3">
        <f t="shared" si="55"/>
        <v>-2.6536812395820935E-4</v>
      </c>
      <c r="T263" s="3">
        <f t="shared" si="60"/>
        <v>-1.320899199576827E-3</v>
      </c>
      <c r="V263" t="str">
        <f t="shared" si="61"/>
        <v>1-1-1</v>
      </c>
    </row>
    <row r="264" spans="1:22">
      <c r="A264" s="1">
        <v>45674</v>
      </c>
      <c r="B264" t="s">
        <v>7</v>
      </c>
      <c r="C264">
        <v>596.96002199999998</v>
      </c>
      <c r="D264">
        <v>599.35998540000003</v>
      </c>
      <c r="E264">
        <v>595.60998540000003</v>
      </c>
      <c r="F264">
        <v>597.58001709999996</v>
      </c>
      <c r="G264">
        <v>58070600</v>
      </c>
      <c r="H264">
        <f t="shared" si="50"/>
        <v>585.69801022000001</v>
      </c>
      <c r="I264">
        <f t="shared" si="56"/>
        <v>590.65100401999996</v>
      </c>
      <c r="J264" s="4">
        <f t="shared" si="57"/>
        <v>591.71613040645173</v>
      </c>
      <c r="K264">
        <f t="shared" ref="K264:K327" si="62">(F263-F259)/F259/5</f>
        <v>3.8415905832100278E-3</v>
      </c>
      <c r="L264">
        <f t="shared" si="51"/>
        <v>-1.0466798938042331E-3</v>
      </c>
      <c r="M264" s="3">
        <f t="shared" si="58"/>
        <v>2.6587789099468279E-4</v>
      </c>
      <c r="N264" t="str">
        <f t="shared" ca="1" si="59"/>
        <v>wait</v>
      </c>
      <c r="O264">
        <f t="shared" si="52"/>
        <v>1.9228359296917796E-2</v>
      </c>
      <c r="P264">
        <f t="shared" si="53"/>
        <v>1.0145167434951752E-2</v>
      </c>
      <c r="Q264">
        <f t="shared" si="54"/>
        <v>8.9329012369954164E-3</v>
      </c>
      <c r="R264">
        <f t="shared" si="49"/>
        <v>2.2145998363991559E-3</v>
      </c>
      <c r="S264" s="3">
        <f t="shared" si="55"/>
        <v>-1.8000631243906215E-3</v>
      </c>
      <c r="T264" s="3">
        <f t="shared" si="60"/>
        <v>-1.5346950004324121E-3</v>
      </c>
      <c r="V264" t="str">
        <f t="shared" si="61"/>
        <v>1-1-1</v>
      </c>
    </row>
    <row r="265" spans="1:22">
      <c r="A265" s="1">
        <v>45678</v>
      </c>
      <c r="B265" t="s">
        <v>7</v>
      </c>
      <c r="C265">
        <v>600.66998290000004</v>
      </c>
      <c r="D265">
        <v>603.05999759999997</v>
      </c>
      <c r="E265">
        <v>598.66998290000004</v>
      </c>
      <c r="F265">
        <v>603.04998780000005</v>
      </c>
      <c r="G265">
        <v>42532900</v>
      </c>
      <c r="H265">
        <f t="shared" si="50"/>
        <v>589.11601559999997</v>
      </c>
      <c r="I265">
        <f t="shared" si="56"/>
        <v>590.31550597499995</v>
      </c>
      <c r="J265" s="4">
        <f t="shared" si="57"/>
        <v>591.96177623709684</v>
      </c>
      <c r="K265">
        <f t="shared" si="62"/>
        <v>5.5694119587309443E-3</v>
      </c>
      <c r="L265">
        <f t="shared" si="51"/>
        <v>9.6370226131459495E-4</v>
      </c>
      <c r="M265" s="3">
        <f t="shared" si="58"/>
        <v>3.7034473169981152E-4</v>
      </c>
      <c r="N265" t="str">
        <f t="shared" ca="1" si="59"/>
        <v>wait</v>
      </c>
      <c r="O265">
        <f t="shared" si="52"/>
        <v>1.9612380234193205E-2</v>
      </c>
      <c r="P265">
        <f t="shared" si="53"/>
        <v>1.4367291460205101E-2</v>
      </c>
      <c r="Q265">
        <f t="shared" si="54"/>
        <v>1.1023244366198615E-2</v>
      </c>
      <c r="R265">
        <f t="shared" ref="R265:R328" si="63">Q265-Q264</f>
        <v>2.0903431292031982E-3</v>
      </c>
      <c r="S265" s="3">
        <f t="shared" si="55"/>
        <v>-2.7810414931884304E-3</v>
      </c>
      <c r="T265" s="3">
        <f t="shared" si="60"/>
        <v>-9.8097836879780889E-4</v>
      </c>
      <c r="V265" t="str">
        <f t="shared" si="61"/>
        <v>1-1-1</v>
      </c>
    </row>
    <row r="266" spans="1:22">
      <c r="A266" s="1">
        <v>45679</v>
      </c>
      <c r="B266" t="s">
        <v>7</v>
      </c>
      <c r="C266">
        <v>605.91998290000004</v>
      </c>
      <c r="D266">
        <v>607.82000730000004</v>
      </c>
      <c r="E266">
        <v>605.35998540000003</v>
      </c>
      <c r="F266">
        <v>606.44000240000003</v>
      </c>
      <c r="G266">
        <v>48196000</v>
      </c>
      <c r="H266">
        <f t="shared" si="50"/>
        <v>593.44801024000003</v>
      </c>
      <c r="I266">
        <f t="shared" si="56"/>
        <v>591.15400389999991</v>
      </c>
      <c r="J266" s="4">
        <f t="shared" si="57"/>
        <v>592.25951754193545</v>
      </c>
      <c r="K266">
        <f t="shared" si="62"/>
        <v>7.1660404039944146E-3</v>
      </c>
      <c r="L266">
        <f t="shared" si="51"/>
        <v>1.4460000772605441E-3</v>
      </c>
      <c r="M266" s="3">
        <f t="shared" si="58"/>
        <v>5.5457460882622832E-4</v>
      </c>
      <c r="N266" t="str">
        <f t="shared" ca="1" si="59"/>
        <v>wait</v>
      </c>
      <c r="O266">
        <f t="shared" si="52"/>
        <v>2.1016116736082946E-2</v>
      </c>
      <c r="P266">
        <f t="shared" si="53"/>
        <v>1.6179981050263859E-2</v>
      </c>
      <c r="Q266">
        <f t="shared" si="54"/>
        <v>8.7993768112697435E-3</v>
      </c>
      <c r="R266">
        <f t="shared" si="63"/>
        <v>-2.2238675549288711E-3</v>
      </c>
      <c r="S266" s="3">
        <f t="shared" si="55"/>
        <v>-1.8666034216280334E-3</v>
      </c>
      <c r="T266" s="3">
        <f t="shared" si="60"/>
        <v>9.1443807156039699E-4</v>
      </c>
      <c r="V266" t="str">
        <f t="shared" si="61"/>
        <v>1-11</v>
      </c>
    </row>
    <row r="267" spans="1:22">
      <c r="A267" s="1">
        <v>45680</v>
      </c>
      <c r="B267" t="s">
        <v>7</v>
      </c>
      <c r="C267">
        <v>605.79998780000005</v>
      </c>
      <c r="D267">
        <v>609.75</v>
      </c>
      <c r="E267">
        <v>605.52001949999999</v>
      </c>
      <c r="F267">
        <v>609.75</v>
      </c>
      <c r="G267">
        <v>41152100</v>
      </c>
      <c r="H267">
        <f t="shared" si="50"/>
        <v>598.29801024000005</v>
      </c>
      <c r="I267">
        <f t="shared" si="56"/>
        <v>592.17100524000011</v>
      </c>
      <c r="J267" s="4">
        <f t="shared" si="57"/>
        <v>592.62742072741912</v>
      </c>
      <c r="K267">
        <f t="shared" si="62"/>
        <v>4.6087831656983257E-3</v>
      </c>
      <c r="L267">
        <f t="shared" si="51"/>
        <v>1.2932400718006312E-3</v>
      </c>
      <c r="M267" s="3">
        <f t="shared" si="58"/>
        <v>6.6058637942190525E-4</v>
      </c>
      <c r="N267" t="str">
        <f t="shared" ca="1" si="59"/>
        <v>wait</v>
      </c>
      <c r="O267">
        <f t="shared" si="52"/>
        <v>1.2538864297727992E-2</v>
      </c>
      <c r="P267">
        <f t="shared" si="53"/>
        <v>1.360858973395862E-2</v>
      </c>
      <c r="Q267">
        <f t="shared" si="54"/>
        <v>1.1803440825696843E-2</v>
      </c>
      <c r="R267">
        <f t="shared" si="63"/>
        <v>3.0040640144270991E-3</v>
      </c>
      <c r="S267" s="3">
        <f t="shared" si="55"/>
        <v>-7.7015587105095805E-4</v>
      </c>
      <c r="T267" s="3">
        <f t="shared" si="60"/>
        <v>1.0964475505770752E-3</v>
      </c>
      <c r="V267" t="str">
        <f t="shared" si="61"/>
        <v>1-11</v>
      </c>
    </row>
    <row r="268" spans="1:22">
      <c r="A268" s="1">
        <v>45681</v>
      </c>
      <c r="B268" t="s">
        <v>7</v>
      </c>
      <c r="C268">
        <v>609.80999759999997</v>
      </c>
      <c r="D268">
        <v>610.78002930000002</v>
      </c>
      <c r="E268">
        <v>606.79998780000005</v>
      </c>
      <c r="F268">
        <v>607.96997069999998</v>
      </c>
      <c r="G268">
        <v>34604700</v>
      </c>
      <c r="H268">
        <f t="shared" si="50"/>
        <v>601.69200437999996</v>
      </c>
      <c r="I268">
        <f t="shared" si="56"/>
        <v>593.10100402</v>
      </c>
      <c r="J268" s="4">
        <f t="shared" si="57"/>
        <v>593.05371093225801</v>
      </c>
      <c r="K268">
        <f t="shared" si="62"/>
        <v>6.1219609739357975E-3</v>
      </c>
      <c r="L268">
        <f t="shared" si="51"/>
        <v>1.2662057155175049E-3</v>
      </c>
      <c r="M268" s="3">
        <f t="shared" si="58"/>
        <v>9.1581775747276125E-4</v>
      </c>
      <c r="N268" t="str">
        <f t="shared" ca="1" si="59"/>
        <v>wait</v>
      </c>
      <c r="O268">
        <f t="shared" si="52"/>
        <v>1.3491941326966739E-2</v>
      </c>
      <c r="P268">
        <f t="shared" si="53"/>
        <v>1.3392226523440742E-2</v>
      </c>
      <c r="Q268">
        <f t="shared" si="54"/>
        <v>6.3620840764613273E-3</v>
      </c>
      <c r="R268">
        <f t="shared" si="63"/>
        <v>-5.4413567492355153E-3</v>
      </c>
      <c r="S268" s="3">
        <f t="shared" si="55"/>
        <v>7.9745032988071709E-5</v>
      </c>
      <c r="T268" s="3">
        <f t="shared" si="60"/>
        <v>8.4990090403902973E-4</v>
      </c>
      <c r="V268" t="str">
        <f t="shared" si="61"/>
        <v>111</v>
      </c>
    </row>
    <row r="269" spans="1:22">
      <c r="A269" s="1">
        <v>45684</v>
      </c>
      <c r="B269" t="s">
        <v>7</v>
      </c>
      <c r="C269">
        <v>594.80999759999997</v>
      </c>
      <c r="D269">
        <v>599.69000240000003</v>
      </c>
      <c r="E269">
        <v>594.64001459999997</v>
      </c>
      <c r="F269">
        <v>599.36999509999998</v>
      </c>
      <c r="G269">
        <v>70361100</v>
      </c>
      <c r="H269">
        <f t="shared" si="50"/>
        <v>604.9579956</v>
      </c>
      <c r="I269">
        <f t="shared" si="56"/>
        <v>593.76500243500004</v>
      </c>
      <c r="J269" s="4">
        <f t="shared" si="57"/>
        <v>593.53725900483857</v>
      </c>
      <c r="K269">
        <f t="shared" si="62"/>
        <v>3.4773430512022433E-3</v>
      </c>
      <c r="L269">
        <f t="shared" si="51"/>
        <v>5.5463022079907669E-4</v>
      </c>
      <c r="M269" s="3">
        <f t="shared" si="58"/>
        <v>8.2665737247872349E-4</v>
      </c>
      <c r="N269" t="str">
        <f t="shared" ca="1" si="59"/>
        <v>wait</v>
      </c>
      <c r="O269">
        <f t="shared" si="52"/>
        <v>-1.6774715060894785E-2</v>
      </c>
      <c r="P269">
        <f t="shared" si="53"/>
        <v>4.9788169127555904E-3</v>
      </c>
      <c r="Q269">
        <f t="shared" si="54"/>
        <v>3.0448266051483763E-3</v>
      </c>
      <c r="R269">
        <f t="shared" si="63"/>
        <v>-3.317257471312951E-3</v>
      </c>
      <c r="S269" s="3">
        <f t="shared" si="55"/>
        <v>3.8370536424843212E-4</v>
      </c>
      <c r="T269" s="3">
        <f t="shared" si="60"/>
        <v>3.0396033126036043E-4</v>
      </c>
      <c r="V269" t="str">
        <f t="shared" si="61"/>
        <v>111</v>
      </c>
    </row>
    <row r="270" spans="1:22">
      <c r="A270" s="1">
        <v>45685</v>
      </c>
      <c r="B270" t="s">
        <v>7</v>
      </c>
      <c r="C270">
        <v>600.61999509999998</v>
      </c>
      <c r="D270">
        <v>605.36999509999998</v>
      </c>
      <c r="E270">
        <v>597.25</v>
      </c>
      <c r="F270">
        <v>604.52001949999999</v>
      </c>
      <c r="G270">
        <v>44433300</v>
      </c>
      <c r="H270">
        <f t="shared" si="50"/>
        <v>605.31599119999998</v>
      </c>
      <c r="I270">
        <f t="shared" si="56"/>
        <v>593.66850279999994</v>
      </c>
      <c r="J270" s="4">
        <f t="shared" si="57"/>
        <v>593.86193650322582</v>
      </c>
      <c r="K270">
        <f t="shared" si="62"/>
        <v>-1.2204602518690476E-3</v>
      </c>
      <c r="L270">
        <f t="shared" si="51"/>
        <v>-1.638034815473561E-4</v>
      </c>
      <c r="M270" s="3">
        <f t="shared" si="58"/>
        <v>5.8516446395231916E-4</v>
      </c>
      <c r="N270" t="str">
        <f t="shared" ca="1" si="59"/>
        <v>wait</v>
      </c>
      <c r="O270">
        <f t="shared" si="52"/>
        <v>-7.757925064379223E-3</v>
      </c>
      <c r="P270">
        <f t="shared" si="53"/>
        <v>-9.8229621989870397E-3</v>
      </c>
      <c r="Q270">
        <f t="shared" si="54"/>
        <v>-1.7637030501764128E-2</v>
      </c>
      <c r="R270">
        <f t="shared" si="63"/>
        <v>-2.0681857106912505E-2</v>
      </c>
      <c r="S270" s="3">
        <f t="shared" si="55"/>
        <v>-3.2572167255718275E-4</v>
      </c>
      <c r="T270" s="3">
        <f t="shared" si="60"/>
        <v>-7.0942703680561487E-4</v>
      </c>
      <c r="V270" t="str">
        <f t="shared" si="61"/>
        <v>1-1-1</v>
      </c>
    </row>
    <row r="271" spans="1:22">
      <c r="A271" s="1">
        <v>45686</v>
      </c>
      <c r="B271" t="s">
        <v>7</v>
      </c>
      <c r="C271">
        <v>603.71997069999998</v>
      </c>
      <c r="D271">
        <v>604.13000490000002</v>
      </c>
      <c r="E271">
        <v>599.21997069999998</v>
      </c>
      <c r="F271">
        <v>601.80999759999997</v>
      </c>
      <c r="G271">
        <v>37177400</v>
      </c>
      <c r="H271">
        <f t="shared" si="50"/>
        <v>605.60999753999999</v>
      </c>
      <c r="I271">
        <f t="shared" si="56"/>
        <v>593.82750242999987</v>
      </c>
      <c r="J271" s="4">
        <f t="shared" si="57"/>
        <v>594.27290491451618</v>
      </c>
      <c r="K271">
        <f t="shared" si="62"/>
        <v>-6.3319797256172435E-4</v>
      </c>
      <c r="L271">
        <f t="shared" si="51"/>
        <v>7.9914703478656973E-4</v>
      </c>
      <c r="M271" s="3">
        <f t="shared" si="58"/>
        <v>6.7977439476127549E-4</v>
      </c>
      <c r="N271" t="str">
        <f t="shared" ca="1" si="59"/>
        <v>wait</v>
      </c>
      <c r="O271">
        <f t="shared" si="52"/>
        <v>-3.1208646615434876E-3</v>
      </c>
      <c r="P271">
        <f t="shared" si="53"/>
        <v>-1.7998019260374587E-3</v>
      </c>
      <c r="Q271">
        <f t="shared" si="54"/>
        <v>-1.3804259463942925E-2</v>
      </c>
      <c r="R271">
        <f t="shared" si="63"/>
        <v>3.8327710378212032E-3</v>
      </c>
      <c r="S271" s="3">
        <f t="shared" si="55"/>
        <v>-7.4949148923486087E-4</v>
      </c>
      <c r="T271" s="3">
        <f t="shared" si="60"/>
        <v>-4.2376981667767812E-4</v>
      </c>
      <c r="V271" t="str">
        <f t="shared" si="61"/>
        <v>1-1-1</v>
      </c>
    </row>
    <row r="272" spans="1:22">
      <c r="A272" s="1">
        <v>45687</v>
      </c>
      <c r="B272" t="s">
        <v>7</v>
      </c>
      <c r="C272">
        <v>603.96002199999998</v>
      </c>
      <c r="D272">
        <v>606.59997559999999</v>
      </c>
      <c r="E272">
        <v>600.71997069999998</v>
      </c>
      <c r="F272">
        <v>605.03997800000002</v>
      </c>
      <c r="G272">
        <v>39281300</v>
      </c>
      <c r="H272">
        <f t="shared" ref="H272:H335" si="64">AVERAGE(F267:F271)</f>
        <v>604.68399657999987</v>
      </c>
      <c r="I272">
        <f t="shared" si="56"/>
        <v>594.16750181999987</v>
      </c>
      <c r="J272" s="4">
        <f t="shared" si="57"/>
        <v>594.61129169677429</v>
      </c>
      <c r="K272">
        <f t="shared" si="62"/>
        <v>-2.604346830668315E-3</v>
      </c>
      <c r="L272">
        <f t="shared" si="51"/>
        <v>1.1551823787814826E-3</v>
      </c>
      <c r="M272" s="3">
        <f t="shared" si="58"/>
        <v>5.7410939684904088E-4</v>
      </c>
      <c r="N272" t="str">
        <f t="shared" ca="1" si="59"/>
        <v>wait</v>
      </c>
      <c r="O272">
        <f t="shared" si="52"/>
        <v>-1.1972775600058716E-3</v>
      </c>
      <c r="P272">
        <f t="shared" si="53"/>
        <v>-4.752894067405089E-3</v>
      </c>
      <c r="Q272">
        <f t="shared" si="54"/>
        <v>-9.0361675038591605E-3</v>
      </c>
      <c r="R272">
        <f t="shared" si="63"/>
        <v>4.7680919600837646E-3</v>
      </c>
      <c r="S272" s="3">
        <f t="shared" si="55"/>
        <v>-7.463529249638446E-4</v>
      </c>
      <c r="T272" s="3">
        <f t="shared" si="60"/>
        <v>3.1385642710162745E-6</v>
      </c>
      <c r="V272" t="str">
        <f t="shared" si="61"/>
        <v>1-11</v>
      </c>
    </row>
    <row r="273" spans="1:22">
      <c r="A273" s="1">
        <v>45688</v>
      </c>
      <c r="B273" t="s">
        <v>7</v>
      </c>
      <c r="C273">
        <v>607.5</v>
      </c>
      <c r="D273">
        <v>609.96002199999998</v>
      </c>
      <c r="E273">
        <v>601.04998780000005</v>
      </c>
      <c r="F273">
        <v>601.82000730000004</v>
      </c>
      <c r="G273">
        <v>66566900</v>
      </c>
      <c r="H273">
        <f t="shared" si="64"/>
        <v>603.7419921799999</v>
      </c>
      <c r="I273">
        <f t="shared" si="56"/>
        <v>595.00850218499988</v>
      </c>
      <c r="J273" s="4">
        <f t="shared" si="57"/>
        <v>594.98661360806466</v>
      </c>
      <c r="K273">
        <f t="shared" si="62"/>
        <v>-9.638609935377051E-4</v>
      </c>
      <c r="L273">
        <f t="shared" si="51"/>
        <v>1.6175232346102163E-3</v>
      </c>
      <c r="M273" s="3">
        <f t="shared" si="58"/>
        <v>7.1923954693560259E-4</v>
      </c>
      <c r="N273" t="str">
        <f t="shared" ca="1" si="59"/>
        <v>wait</v>
      </c>
      <c r="O273">
        <f t="shared" si="52"/>
        <v>6.2245261530189389E-3</v>
      </c>
      <c r="P273">
        <f t="shared" si="53"/>
        <v>2.1499015089432305E-3</v>
      </c>
      <c r="Q273">
        <f t="shared" si="54"/>
        <v>-5.0054849905138976E-3</v>
      </c>
      <c r="R273">
        <f t="shared" si="63"/>
        <v>4.0306825133452628E-3</v>
      </c>
      <c r="S273" s="3">
        <f t="shared" si="55"/>
        <v>3.6788351930290913E-5</v>
      </c>
      <c r="T273" s="3">
        <f t="shared" si="60"/>
        <v>7.8314127689413555E-4</v>
      </c>
      <c r="V273" t="str">
        <f t="shared" si="61"/>
        <v>111</v>
      </c>
    </row>
    <row r="274" spans="1:22">
      <c r="A274" s="1">
        <v>45691</v>
      </c>
      <c r="B274" t="s">
        <v>7</v>
      </c>
      <c r="C274">
        <v>592.66998290000004</v>
      </c>
      <c r="D274">
        <v>600.28997800000002</v>
      </c>
      <c r="E274">
        <v>590.48999019999997</v>
      </c>
      <c r="F274">
        <v>597.77001949999999</v>
      </c>
      <c r="G274">
        <v>65857200</v>
      </c>
      <c r="H274">
        <f t="shared" si="64"/>
        <v>602.51199949999989</v>
      </c>
      <c r="I274">
        <f t="shared" si="56"/>
        <v>595.79550169499998</v>
      </c>
      <c r="J274" s="4">
        <f t="shared" si="57"/>
        <v>595.33838776129028</v>
      </c>
      <c r="K274">
        <f t="shared" si="62"/>
        <v>8.1752914561273476E-4</v>
      </c>
      <c r="L274">
        <f t="shared" si="51"/>
        <v>1.4692795798243734E-3</v>
      </c>
      <c r="M274" s="3">
        <f t="shared" si="58"/>
        <v>9.7249554047358557E-4</v>
      </c>
      <c r="N274" t="str">
        <f t="shared" ca="1" si="59"/>
        <v>wait</v>
      </c>
      <c r="O274">
        <f t="shared" si="52"/>
        <v>-1.6334971931127207E-2</v>
      </c>
      <c r="P274">
        <f t="shared" si="53"/>
        <v>-1.1485118978112885E-3</v>
      </c>
      <c r="Q274">
        <f t="shared" si="54"/>
        <v>-2.4265271085274209E-3</v>
      </c>
      <c r="R274">
        <f t="shared" si="63"/>
        <v>2.5789578819864767E-3</v>
      </c>
      <c r="S274" s="3">
        <f t="shared" si="55"/>
        <v>7.6782203719238939E-4</v>
      </c>
      <c r="T274" s="3">
        <f t="shared" si="60"/>
        <v>7.3103368526209844E-4</v>
      </c>
      <c r="V274" t="str">
        <f t="shared" si="61"/>
        <v>111</v>
      </c>
    </row>
    <row r="275" spans="1:22">
      <c r="A275" s="1">
        <v>45692</v>
      </c>
      <c r="B275" t="s">
        <v>7</v>
      </c>
      <c r="C275">
        <v>597.83001709999996</v>
      </c>
      <c r="D275">
        <v>602.29998780000005</v>
      </c>
      <c r="E275">
        <v>597.28002930000002</v>
      </c>
      <c r="F275">
        <v>601.78002930000002</v>
      </c>
      <c r="G275">
        <v>33457800</v>
      </c>
      <c r="H275">
        <f t="shared" si="64"/>
        <v>602.19200438000007</v>
      </c>
      <c r="I275">
        <f t="shared" si="56"/>
        <v>596.45200193999995</v>
      </c>
      <c r="J275" s="4">
        <f t="shared" si="57"/>
        <v>595.80822655000009</v>
      </c>
      <c r="K275">
        <f t="shared" si="62"/>
        <v>-2.2331766632254597E-3</v>
      </c>
      <c r="L275">
        <f t="shared" si="51"/>
        <v>4.9159618042491564E-4</v>
      </c>
      <c r="M275" s="3">
        <f t="shared" si="58"/>
        <v>7.8015674704068826E-4</v>
      </c>
      <c r="N275" t="str">
        <f t="shared" ca="1" si="59"/>
        <v>wait</v>
      </c>
      <c r="O275">
        <f t="shared" si="52"/>
        <v>-7.2435157695112107E-3</v>
      </c>
      <c r="P275">
        <f t="shared" si="53"/>
        <v>-7.3431477798394651E-3</v>
      </c>
      <c r="Q275">
        <f t="shared" si="54"/>
        <v>-1.9432363921949025E-2</v>
      </c>
      <c r="R275">
        <f t="shared" si="63"/>
        <v>-1.7005836813421604E-2</v>
      </c>
      <c r="S275" s="3">
        <f t="shared" si="55"/>
        <v>1.0805077226402383E-3</v>
      </c>
      <c r="T275" s="3">
        <f t="shared" si="60"/>
        <v>3.1268568544784892E-4</v>
      </c>
      <c r="V275" t="str">
        <f t="shared" si="61"/>
        <v>111</v>
      </c>
    </row>
    <row r="276" spans="1:22">
      <c r="A276" s="1">
        <v>45693</v>
      </c>
      <c r="B276" t="s">
        <v>7</v>
      </c>
      <c r="C276">
        <v>600.64001459999997</v>
      </c>
      <c r="D276">
        <v>604.36999509999998</v>
      </c>
      <c r="E276">
        <v>598.58001709999996</v>
      </c>
      <c r="F276">
        <v>604.21997069999998</v>
      </c>
      <c r="G276">
        <v>30653100</v>
      </c>
      <c r="H276">
        <f t="shared" si="64"/>
        <v>601.64400634000003</v>
      </c>
      <c r="I276">
        <f t="shared" si="56"/>
        <v>596.94350279500009</v>
      </c>
      <c r="J276" s="4">
        <f t="shared" si="57"/>
        <v>596.30403382903239</v>
      </c>
      <c r="K276">
        <f t="shared" si="62"/>
        <v>-9.9593892156870448E-6</v>
      </c>
      <c r="L276">
        <f t="shared" si="51"/>
        <v>5.391732781374793E-4</v>
      </c>
      <c r="M276" s="3">
        <f t="shared" si="58"/>
        <v>9.3510795512701883E-4</v>
      </c>
      <c r="N276" t="str">
        <f t="shared" ca="1" si="59"/>
        <v>wait</v>
      </c>
      <c r="O276">
        <f t="shared" si="52"/>
        <v>-1.668747181755692E-3</v>
      </c>
      <c r="P276">
        <f t="shared" si="53"/>
        <v>2.2608545679281278E-4</v>
      </c>
      <c r="Q276">
        <f t="shared" si="54"/>
        <v>-7.2534206175302041E-3</v>
      </c>
      <c r="R276">
        <f t="shared" si="63"/>
        <v>1.2178943304418821E-2</v>
      </c>
      <c r="S276" s="3">
        <f t="shared" si="55"/>
        <v>1.0723874562133815E-3</v>
      </c>
      <c r="T276" s="3">
        <f t="shared" si="60"/>
        <v>-8.1202664268568373E-6</v>
      </c>
      <c r="V276" t="str">
        <f t="shared" si="61"/>
        <v>11-1</v>
      </c>
    </row>
    <row r="277" spans="1:22">
      <c r="A277" s="1">
        <v>45694</v>
      </c>
      <c r="B277" t="s">
        <v>7</v>
      </c>
      <c r="C277">
        <v>605.98999019999997</v>
      </c>
      <c r="D277">
        <v>606.45001219999995</v>
      </c>
      <c r="E277">
        <v>602.63000490000002</v>
      </c>
      <c r="F277">
        <v>606.32000730000004</v>
      </c>
      <c r="G277">
        <v>35771500</v>
      </c>
      <c r="H277">
        <f t="shared" si="64"/>
        <v>602.12600096000006</v>
      </c>
      <c r="I277">
        <f t="shared" si="56"/>
        <v>597.38650206</v>
      </c>
      <c r="J277" s="4">
        <f t="shared" si="57"/>
        <v>596.85903339516119</v>
      </c>
      <c r="K277">
        <f t="shared" si="62"/>
        <v>-2.7105888199673408E-4</v>
      </c>
      <c r="L277">
        <f t="shared" si="51"/>
        <v>1.3242585045123952E-3</v>
      </c>
      <c r="M277" s="3">
        <f t="shared" si="58"/>
        <v>7.9532853354775869E-4</v>
      </c>
      <c r="N277" t="str">
        <f t="shared" ca="1" si="59"/>
        <v>wait</v>
      </c>
      <c r="O277">
        <f t="shared" si="52"/>
        <v>6.4172436231608732E-3</v>
      </c>
      <c r="P277">
        <f t="shared" si="53"/>
        <v>3.477627168834152E-3</v>
      </c>
      <c r="Q277">
        <f t="shared" si="54"/>
        <v>-5.889106024896007E-3</v>
      </c>
      <c r="R277">
        <f t="shared" si="63"/>
        <v>1.3643145926341971E-3</v>
      </c>
      <c r="S277" s="3">
        <f t="shared" si="55"/>
        <v>8.8374077516824127E-4</v>
      </c>
      <c r="T277" s="3">
        <f t="shared" si="60"/>
        <v>-1.886466810451402E-4</v>
      </c>
      <c r="V277" t="str">
        <f t="shared" si="61"/>
        <v>11-1</v>
      </c>
    </row>
    <row r="278" spans="1:22">
      <c r="A278" s="1">
        <v>45695</v>
      </c>
      <c r="B278" t="s">
        <v>7</v>
      </c>
      <c r="C278">
        <v>606.89001459999997</v>
      </c>
      <c r="D278">
        <v>608.13000490000002</v>
      </c>
      <c r="E278">
        <v>600.04998780000005</v>
      </c>
      <c r="F278">
        <v>600.77001949999999</v>
      </c>
      <c r="G278">
        <v>50788500</v>
      </c>
      <c r="H278">
        <f t="shared" si="64"/>
        <v>602.38200682000002</v>
      </c>
      <c r="I278">
        <f t="shared" si="56"/>
        <v>598.2710021800001</v>
      </c>
      <c r="J278" s="4">
        <f t="shared" si="57"/>
        <v>597.33677525161272</v>
      </c>
      <c r="K278">
        <f t="shared" si="62"/>
        <v>1.4954637417884328E-3</v>
      </c>
      <c r="L278">
        <f t="shared" si="51"/>
        <v>1.4275066056923251E-3</v>
      </c>
      <c r="M278" s="3">
        <f t="shared" si="58"/>
        <v>4.3087974499078706E-4</v>
      </c>
      <c r="N278" t="str">
        <f t="shared" ca="1" si="59"/>
        <v>wait</v>
      </c>
      <c r="O278">
        <f t="shared" si="52"/>
        <v>7.4836361793040318E-3</v>
      </c>
      <c r="P278">
        <f t="shared" si="53"/>
        <v>6.5373806578137295E-3</v>
      </c>
      <c r="Q278">
        <f t="shared" si="54"/>
        <v>4.1169569673771278E-4</v>
      </c>
      <c r="R278">
        <f t="shared" si="63"/>
        <v>6.3008017216337198E-3</v>
      </c>
      <c r="S278" s="3">
        <f t="shared" si="55"/>
        <v>1.5639869619509961E-3</v>
      </c>
      <c r="T278" s="3">
        <f t="shared" si="60"/>
        <v>6.8024618678275486E-4</v>
      </c>
      <c r="V278" t="str">
        <f t="shared" si="61"/>
        <v>111</v>
      </c>
    </row>
    <row r="279" spans="1:22">
      <c r="A279" s="1">
        <v>45698</v>
      </c>
      <c r="B279" t="s">
        <v>7</v>
      </c>
      <c r="C279">
        <v>604.03002930000002</v>
      </c>
      <c r="D279">
        <v>605.5</v>
      </c>
      <c r="E279">
        <v>602.73999019999997</v>
      </c>
      <c r="F279">
        <v>604.84997559999999</v>
      </c>
      <c r="G279">
        <v>26048700</v>
      </c>
      <c r="H279">
        <f t="shared" si="64"/>
        <v>602.1720092600001</v>
      </c>
      <c r="I279">
        <f t="shared" si="56"/>
        <v>598.83500364500003</v>
      </c>
      <c r="J279" s="4">
        <f t="shared" si="57"/>
        <v>597.49371140483845</v>
      </c>
      <c r="K279">
        <f t="shared" si="62"/>
        <v>1.0037304990669577E-3</v>
      </c>
      <c r="L279">
        <f t="shared" ref="L279:L342" si="65">(F278-F259)/F259/20</f>
        <v>1.7468026703623962E-3</v>
      </c>
      <c r="M279" s="3">
        <f t="shared" si="58"/>
        <v>1.4439074300538532E-4</v>
      </c>
      <c r="N279" t="str">
        <f t="shared" ca="1" si="59"/>
        <v>wait</v>
      </c>
      <c r="O279">
        <f t="shared" ref="O279:O342" si="66">C279/H279-1</f>
        <v>3.0855303990020566E-3</v>
      </c>
      <c r="P279">
        <f t="shared" ref="P279:P342" si="67">F278/H279-1</f>
        <v>-2.3282214025905912E-3</v>
      </c>
      <c r="Q279">
        <f t="shared" ref="Q279:Q342" si="68">E278/H279-1</f>
        <v>-3.5239456955293846E-3</v>
      </c>
      <c r="R279">
        <f t="shared" si="63"/>
        <v>-3.9356413922670974E-3</v>
      </c>
      <c r="S279" s="3">
        <f t="shared" ref="S279:S342" si="69">(I279-J279)/J279</f>
        <v>2.2448641961568217E-3</v>
      </c>
      <c r="T279" s="3">
        <f t="shared" si="60"/>
        <v>6.8087723420582561E-4</v>
      </c>
      <c r="V279" t="str">
        <f t="shared" si="61"/>
        <v>111</v>
      </c>
    </row>
    <row r="280" spans="1:22">
      <c r="A280" s="1">
        <v>45699</v>
      </c>
      <c r="B280" t="s">
        <v>7</v>
      </c>
      <c r="C280">
        <v>602.54998780000005</v>
      </c>
      <c r="D280">
        <v>605.85998540000003</v>
      </c>
      <c r="E280">
        <v>602.42999269999996</v>
      </c>
      <c r="F280">
        <v>605.30999759999997</v>
      </c>
      <c r="G280">
        <v>30056700</v>
      </c>
      <c r="H280">
        <f t="shared" si="64"/>
        <v>603.58800048000001</v>
      </c>
      <c r="I280">
        <f t="shared" si="56"/>
        <v>600.05300291499998</v>
      </c>
      <c r="J280" s="4">
        <f t="shared" si="57"/>
        <v>597.64274350483868</v>
      </c>
      <c r="K280">
        <f t="shared" si="62"/>
        <v>1.0202885275441857E-3</v>
      </c>
      <c r="L280">
        <f t="shared" si="65"/>
        <v>2.0175751570260993E-3</v>
      </c>
      <c r="M280" s="3">
        <f t="shared" si="58"/>
        <v>1.8555902453733954E-4</v>
      </c>
      <c r="N280" t="str">
        <f t="shared" ca="1" si="59"/>
        <v>wait</v>
      </c>
      <c r="O280">
        <f t="shared" si="66"/>
        <v>-1.7197371040751364E-3</v>
      </c>
      <c r="P280">
        <f t="shared" si="67"/>
        <v>2.0907889470904717E-3</v>
      </c>
      <c r="Q280">
        <f t="shared" si="68"/>
        <v>-1.4049488712924996E-3</v>
      </c>
      <c r="R280">
        <f t="shared" si="63"/>
        <v>2.1189968242368851E-3</v>
      </c>
      <c r="S280" s="3">
        <f t="shared" si="69"/>
        <v>4.0329434873190061E-3</v>
      </c>
      <c r="T280" s="3">
        <f t="shared" si="60"/>
        <v>1.7880792911621844E-3</v>
      </c>
      <c r="V280" t="str">
        <f t="shared" si="61"/>
        <v>111</v>
      </c>
    </row>
    <row r="281" spans="1:22">
      <c r="A281" s="1">
        <v>45700</v>
      </c>
      <c r="B281" t="s">
        <v>7</v>
      </c>
      <c r="C281">
        <v>599.20001219999995</v>
      </c>
      <c r="D281">
        <v>604.54998780000005</v>
      </c>
      <c r="E281">
        <v>598.51000980000003</v>
      </c>
      <c r="F281">
        <v>603.35998540000003</v>
      </c>
      <c r="G281">
        <v>45076100</v>
      </c>
      <c r="H281">
        <f t="shared" si="64"/>
        <v>604.29399414</v>
      </c>
      <c r="I281">
        <f t="shared" si="56"/>
        <v>601.24900206500001</v>
      </c>
      <c r="J281" s="4">
        <f t="shared" si="57"/>
        <v>597.75758213709685</v>
      </c>
      <c r="K281">
        <f t="shared" si="62"/>
        <v>3.6080465819002364E-4</v>
      </c>
      <c r="L281">
        <f t="shared" si="65"/>
        <v>1.9856056531966262E-3</v>
      </c>
      <c r="M281" s="3">
        <f t="shared" si="58"/>
        <v>1.8232089910245761E-4</v>
      </c>
      <c r="N281" t="str">
        <f t="shared" ca="1" si="59"/>
        <v>wait</v>
      </c>
      <c r="O281">
        <f t="shared" si="66"/>
        <v>-8.4296418455217514E-3</v>
      </c>
      <c r="P281">
        <f t="shared" si="67"/>
        <v>1.6813065657650395E-3</v>
      </c>
      <c r="Q281">
        <f t="shared" si="68"/>
        <v>-3.0845936879660973E-3</v>
      </c>
      <c r="R281">
        <f t="shared" si="63"/>
        <v>-1.6796448166735978E-3</v>
      </c>
      <c r="S281" s="3">
        <f t="shared" si="69"/>
        <v>5.8408626376944932E-3</v>
      </c>
      <c r="T281" s="3">
        <f t="shared" si="60"/>
        <v>1.8079191503754871E-3</v>
      </c>
      <c r="V281" t="str">
        <f t="shared" si="61"/>
        <v>111</v>
      </c>
    </row>
    <row r="282" spans="1:22">
      <c r="A282" s="1">
        <v>45701</v>
      </c>
      <c r="B282" t="s">
        <v>7</v>
      </c>
      <c r="C282">
        <v>604.47998050000001</v>
      </c>
      <c r="D282">
        <v>609.94000240000003</v>
      </c>
      <c r="E282">
        <v>603.20001219999995</v>
      </c>
      <c r="F282">
        <v>609.72998050000001</v>
      </c>
      <c r="G282">
        <v>40921300</v>
      </c>
      <c r="H282">
        <f t="shared" si="64"/>
        <v>604.12199708000003</v>
      </c>
      <c r="I282">
        <f t="shared" si="56"/>
        <v>602.307501215</v>
      </c>
      <c r="J282" s="4">
        <f t="shared" si="57"/>
        <v>597.83177529193563</v>
      </c>
      <c r="K282">
        <f t="shared" si="62"/>
        <v>-9.763893206101744E-4</v>
      </c>
      <c r="L282">
        <f t="shared" si="65"/>
        <v>8.9240152983001354E-4</v>
      </c>
      <c r="M282" s="3">
        <f t="shared" si="58"/>
        <v>1.8037529278859082E-4</v>
      </c>
      <c r="N282" t="str">
        <f t="shared" ca="1" si="59"/>
        <v>wait</v>
      </c>
      <c r="O282">
        <f t="shared" si="66"/>
        <v>5.9256809341534655E-4</v>
      </c>
      <c r="P282">
        <f t="shared" si="67"/>
        <v>-1.2613539710243371E-3</v>
      </c>
      <c r="Q282">
        <f t="shared" si="68"/>
        <v>-9.2894933591647355E-3</v>
      </c>
      <c r="R282">
        <f t="shared" si="63"/>
        <v>-6.2048996711986382E-3</v>
      </c>
      <c r="S282" s="3">
        <f t="shared" si="69"/>
        <v>7.4865975815333156E-3</v>
      </c>
      <c r="T282" s="3">
        <f t="shared" si="60"/>
        <v>1.6457349438388225E-3</v>
      </c>
      <c r="V282" t="str">
        <f t="shared" si="61"/>
        <v>111</v>
      </c>
    </row>
    <row r="283" spans="1:22">
      <c r="A283" s="1">
        <v>45702</v>
      </c>
      <c r="B283" t="s">
        <v>7</v>
      </c>
      <c r="C283">
        <v>609.94000240000003</v>
      </c>
      <c r="D283">
        <v>610.98999019999997</v>
      </c>
      <c r="E283">
        <v>609.07000730000004</v>
      </c>
      <c r="F283">
        <v>609.70001219999995</v>
      </c>
      <c r="G283">
        <v>26910400</v>
      </c>
      <c r="H283">
        <f t="shared" si="64"/>
        <v>604.80399172</v>
      </c>
      <c r="I283">
        <f t="shared" si="56"/>
        <v>603.15499877499997</v>
      </c>
      <c r="J283" s="4">
        <f t="shared" si="57"/>
        <v>598.03871006774204</v>
      </c>
      <c r="K283">
        <f t="shared" si="62"/>
        <v>2.9828256101917623E-3</v>
      </c>
      <c r="L283">
        <f t="shared" si="65"/>
        <v>1.5287983785402365E-3</v>
      </c>
      <c r="M283" s="3">
        <f t="shared" si="58"/>
        <v>3.4997175800007956E-4</v>
      </c>
      <c r="N283" t="str">
        <f t="shared" ca="1" si="59"/>
        <v>wait</v>
      </c>
      <c r="O283">
        <f t="shared" si="66"/>
        <v>8.4920251028663962E-3</v>
      </c>
      <c r="P283">
        <f t="shared" si="67"/>
        <v>8.1447689622402564E-3</v>
      </c>
      <c r="Q283">
        <f t="shared" si="68"/>
        <v>-2.652065035878004E-3</v>
      </c>
      <c r="R283">
        <f t="shared" si="63"/>
        <v>6.6374283232867315E-3</v>
      </c>
      <c r="S283" s="3">
        <f t="shared" si="69"/>
        <v>8.5551129402282027E-3</v>
      </c>
      <c r="T283" s="3">
        <f t="shared" si="60"/>
        <v>1.0685153586948871E-3</v>
      </c>
      <c r="V283" t="str">
        <f t="shared" si="61"/>
        <v>111</v>
      </c>
    </row>
    <row r="284" spans="1:22">
      <c r="A284" s="1">
        <v>45706</v>
      </c>
      <c r="B284" t="s">
        <v>7</v>
      </c>
      <c r="C284">
        <v>610.88000490000002</v>
      </c>
      <c r="D284">
        <v>611.48999019999997</v>
      </c>
      <c r="E284">
        <v>608.38000490000002</v>
      </c>
      <c r="F284">
        <v>611.48999019999997</v>
      </c>
      <c r="G284">
        <v>26749000</v>
      </c>
      <c r="H284">
        <f t="shared" si="64"/>
        <v>606.58999026000004</v>
      </c>
      <c r="I284">
        <f t="shared" si="56"/>
        <v>604.05799865499989</v>
      </c>
      <c r="J284" s="4">
        <f t="shared" si="57"/>
        <v>598.24048441935497</v>
      </c>
      <c r="K284">
        <f t="shared" si="62"/>
        <v>1.603715564405473E-3</v>
      </c>
      <c r="L284">
        <f t="shared" si="65"/>
        <v>1.0140897246545481E-3</v>
      </c>
      <c r="M284" s="3">
        <f t="shared" si="58"/>
        <v>4.5925780939730306E-4</v>
      </c>
      <c r="N284" t="str">
        <f t="shared" ca="1" si="59"/>
        <v>wait</v>
      </c>
      <c r="O284">
        <f t="shared" si="66"/>
        <v>7.0723465749265024E-3</v>
      </c>
      <c r="P284">
        <f t="shared" si="67"/>
        <v>5.1270577984099397E-3</v>
      </c>
      <c r="Q284">
        <f t="shared" si="68"/>
        <v>4.088456914590699E-3</v>
      </c>
      <c r="R284">
        <f t="shared" si="63"/>
        <v>6.7405219504687031E-3</v>
      </c>
      <c r="S284" s="3">
        <f t="shared" si="69"/>
        <v>9.7243740387970082E-3</v>
      </c>
      <c r="T284" s="3">
        <f t="shared" si="60"/>
        <v>1.1692610985688055E-3</v>
      </c>
      <c r="V284" t="str">
        <f t="shared" si="61"/>
        <v>111</v>
      </c>
    </row>
    <row r="285" spans="1:22">
      <c r="A285" s="1">
        <v>45707</v>
      </c>
      <c r="B285" t="s">
        <v>7</v>
      </c>
      <c r="C285">
        <v>610.08001709999996</v>
      </c>
      <c r="D285">
        <v>613.22998050000001</v>
      </c>
      <c r="E285">
        <v>609.55999759999997</v>
      </c>
      <c r="F285">
        <v>612.92999269999996</v>
      </c>
      <c r="G285">
        <v>31011100</v>
      </c>
      <c r="H285">
        <f t="shared" si="64"/>
        <v>607.91799317999994</v>
      </c>
      <c r="I285">
        <f t="shared" si="56"/>
        <v>604.75349731000006</v>
      </c>
      <c r="J285" s="4">
        <f t="shared" si="57"/>
        <v>598.5330653000002</v>
      </c>
      <c r="K285">
        <f t="shared" si="62"/>
        <v>2.0419264920464256E-3</v>
      </c>
      <c r="L285">
        <f t="shared" si="65"/>
        <v>6.9977635111063269E-4</v>
      </c>
      <c r="M285" s="3">
        <f t="shared" si="58"/>
        <v>7.3239408735239629E-4</v>
      </c>
      <c r="N285" t="str">
        <f t="shared" ca="1" si="59"/>
        <v>wait</v>
      </c>
      <c r="O285">
        <f t="shared" si="66"/>
        <v>3.5564400860887968E-3</v>
      </c>
      <c r="P285">
        <f t="shared" si="67"/>
        <v>5.8757876227926165E-3</v>
      </c>
      <c r="Q285">
        <f t="shared" si="68"/>
        <v>7.5999020457229172E-4</v>
      </c>
      <c r="R285">
        <f t="shared" si="63"/>
        <v>-3.3284667100184073E-3</v>
      </c>
      <c r="S285" s="3">
        <f t="shared" si="69"/>
        <v>1.0392795938319653E-2</v>
      </c>
      <c r="T285" s="3">
        <f t="shared" si="60"/>
        <v>6.6842189952264451E-4</v>
      </c>
      <c r="V285" t="str">
        <f t="shared" si="61"/>
        <v>111</v>
      </c>
    </row>
    <row r="286" spans="1:22">
      <c r="A286" s="1">
        <v>45708</v>
      </c>
      <c r="B286" t="s">
        <v>7</v>
      </c>
      <c r="C286">
        <v>611.53997800000002</v>
      </c>
      <c r="D286">
        <v>611.67999269999996</v>
      </c>
      <c r="E286">
        <v>607.02001949999999</v>
      </c>
      <c r="F286">
        <v>610.38000490000002</v>
      </c>
      <c r="G286">
        <v>36554000</v>
      </c>
      <c r="H286">
        <f t="shared" si="64"/>
        <v>609.44199220000007</v>
      </c>
      <c r="I286">
        <f t="shared" si="56"/>
        <v>605.247497555</v>
      </c>
      <c r="J286" s="4">
        <f t="shared" si="57"/>
        <v>598.97145227903241</v>
      </c>
      <c r="K286">
        <f t="shared" si="62"/>
        <v>3.1722379778484819E-3</v>
      </c>
      <c r="L286">
        <f t="shared" si="65"/>
        <v>5.3508923177195166E-4</v>
      </c>
      <c r="M286" s="3">
        <f t="shared" si="58"/>
        <v>7.0220089183535507E-4</v>
      </c>
      <c r="N286" t="str">
        <f t="shared" ca="1" si="59"/>
        <v>wait</v>
      </c>
      <c r="O286">
        <f t="shared" si="66"/>
        <v>3.4424700412036824E-3</v>
      </c>
      <c r="P286">
        <f t="shared" si="67"/>
        <v>5.7232690635717898E-3</v>
      </c>
      <c r="Q286">
        <f t="shared" si="68"/>
        <v>1.9362860044136454E-4</v>
      </c>
      <c r="R286">
        <f t="shared" si="63"/>
        <v>-5.6636160413092718E-4</v>
      </c>
      <c r="S286" s="3">
        <f t="shared" si="69"/>
        <v>1.0478037395752007E-2</v>
      </c>
      <c r="T286" s="3">
        <f t="shared" si="60"/>
        <v>8.5241457432353937E-5</v>
      </c>
      <c r="V286" t="str">
        <f t="shared" si="61"/>
        <v>111</v>
      </c>
    </row>
    <row r="287" spans="1:22">
      <c r="A287" s="1">
        <v>45709</v>
      </c>
      <c r="B287" t="s">
        <v>7</v>
      </c>
      <c r="C287">
        <v>610.1599731</v>
      </c>
      <c r="D287">
        <v>610.29998780000005</v>
      </c>
      <c r="E287">
        <v>599.46997069999998</v>
      </c>
      <c r="F287">
        <v>599.94000240000003</v>
      </c>
      <c r="G287">
        <v>76519800</v>
      </c>
      <c r="H287">
        <f t="shared" si="64"/>
        <v>610.84599610000009</v>
      </c>
      <c r="I287">
        <f t="shared" si="56"/>
        <v>605.44449767999981</v>
      </c>
      <c r="J287" s="4">
        <f t="shared" si="57"/>
        <v>599.33000035161308</v>
      </c>
      <c r="K287">
        <f t="shared" si="62"/>
        <v>2.1321713571209464E-4</v>
      </c>
      <c r="L287">
        <f t="shared" si="65"/>
        <v>5.1660918409185504E-5</v>
      </c>
      <c r="M287" s="3">
        <f t="shared" si="58"/>
        <v>5.6694385665488926E-4</v>
      </c>
      <c r="N287" t="str">
        <f t="shared" ca="1" si="59"/>
        <v>wait</v>
      </c>
      <c r="O287">
        <f t="shared" si="66"/>
        <v>-1.1230703063948022E-3</v>
      </c>
      <c r="P287">
        <f t="shared" si="67"/>
        <v>-7.6286200282105199E-4</v>
      </c>
      <c r="Q287">
        <f t="shared" si="68"/>
        <v>-6.2634062012805192E-3</v>
      </c>
      <c r="R287">
        <f t="shared" si="63"/>
        <v>-6.4570348017218837E-3</v>
      </c>
      <c r="S287" s="3">
        <f t="shared" si="69"/>
        <v>1.0202221355179114E-2</v>
      </c>
      <c r="T287" s="3">
        <f t="shared" si="60"/>
        <v>-2.7581604057289218E-4</v>
      </c>
      <c r="V287" t="str">
        <f t="shared" si="61"/>
        <v>11-1</v>
      </c>
    </row>
    <row r="288" spans="1:22">
      <c r="A288" s="1">
        <v>45712</v>
      </c>
      <c r="B288" t="s">
        <v>7</v>
      </c>
      <c r="C288">
        <v>602.02001949999999</v>
      </c>
      <c r="D288">
        <v>603.03002930000002</v>
      </c>
      <c r="E288">
        <v>596.48999019999997</v>
      </c>
      <c r="F288">
        <v>597.21002199999998</v>
      </c>
      <c r="G288">
        <v>50737200</v>
      </c>
      <c r="H288">
        <f t="shared" si="64"/>
        <v>608.88800048000007</v>
      </c>
      <c r="I288">
        <f t="shared" si="56"/>
        <v>604.95399779999991</v>
      </c>
      <c r="J288" s="4">
        <f t="shared" si="57"/>
        <v>599.48548445806466</v>
      </c>
      <c r="K288">
        <f t="shared" si="62"/>
        <v>-3.2015776954907927E-3</v>
      </c>
      <c r="L288">
        <f t="shared" si="65"/>
        <v>-6.6039185214645266E-4</v>
      </c>
      <c r="M288" s="3">
        <f t="shared" si="58"/>
        <v>2.6644093705899025E-4</v>
      </c>
      <c r="N288" t="str">
        <f t="shared" ca="1" si="59"/>
        <v>wait</v>
      </c>
      <c r="O288">
        <f t="shared" si="66"/>
        <v>-1.1279547264169909E-2</v>
      </c>
      <c r="P288">
        <f t="shared" si="67"/>
        <v>-1.4695638726573867E-2</v>
      </c>
      <c r="Q288">
        <f t="shared" si="68"/>
        <v>-1.5467589725164044E-2</v>
      </c>
      <c r="R288">
        <f t="shared" si="63"/>
        <v>-9.2041835238835246E-3</v>
      </c>
      <c r="S288" s="3">
        <f t="shared" si="69"/>
        <v>9.1220112641739598E-3</v>
      </c>
      <c r="T288" s="3">
        <f t="shared" si="60"/>
        <v>-1.0802100910051547E-3</v>
      </c>
      <c r="V288" t="str">
        <f t="shared" si="61"/>
        <v>11-1</v>
      </c>
    </row>
    <row r="289" spans="1:22">
      <c r="A289" s="1">
        <v>45713</v>
      </c>
      <c r="B289" t="s">
        <v>7</v>
      </c>
      <c r="C289">
        <v>597.15002440000001</v>
      </c>
      <c r="D289">
        <v>597.89001459999997</v>
      </c>
      <c r="E289">
        <v>589.55999759999997</v>
      </c>
      <c r="F289">
        <v>594.23999019999997</v>
      </c>
      <c r="G289">
        <v>58266500</v>
      </c>
      <c r="H289">
        <f t="shared" si="64"/>
        <v>606.39000243999999</v>
      </c>
      <c r="I289">
        <f t="shared" si="56"/>
        <v>604.41600036499983</v>
      </c>
      <c r="J289" s="4">
        <f t="shared" si="57"/>
        <v>599.59371061935497</v>
      </c>
      <c r="K289">
        <f t="shared" si="62"/>
        <v>-4.6705484730271505E-3</v>
      </c>
      <c r="L289">
        <f t="shared" si="65"/>
        <v>-1.8018695610877452E-4</v>
      </c>
      <c r="M289" s="3">
        <f t="shared" si="58"/>
        <v>9.9382911998439433E-5</v>
      </c>
      <c r="N289" t="str">
        <f t="shared" ca="1" si="59"/>
        <v>wait</v>
      </c>
      <c r="O289">
        <f t="shared" si="66"/>
        <v>-1.5237682024472732E-2</v>
      </c>
      <c r="P289">
        <f t="shared" si="67"/>
        <v>-1.5138739759991915E-2</v>
      </c>
      <c r="Q289">
        <f t="shared" si="68"/>
        <v>-1.6326146869447444E-2</v>
      </c>
      <c r="R289">
        <f t="shared" si="63"/>
        <v>-8.5855714428340058E-4</v>
      </c>
      <c r="S289" s="3">
        <f t="shared" si="69"/>
        <v>8.0425956113909947E-3</v>
      </c>
      <c r="T289" s="3">
        <f t="shared" si="60"/>
        <v>-1.0794156527829651E-3</v>
      </c>
      <c r="V289" t="str">
        <f t="shared" si="61"/>
        <v>11-1</v>
      </c>
    </row>
    <row r="290" spans="1:22">
      <c r="A290" s="1">
        <v>45714</v>
      </c>
      <c r="B290" t="s">
        <v>7</v>
      </c>
      <c r="C290">
        <v>595.92999269999996</v>
      </c>
      <c r="D290">
        <v>599.58001709999996</v>
      </c>
      <c r="E290">
        <v>591.85998540000003</v>
      </c>
      <c r="F290">
        <v>594.53997800000002</v>
      </c>
      <c r="G290">
        <v>43321600</v>
      </c>
      <c r="H290">
        <f t="shared" si="64"/>
        <v>602.94000243999994</v>
      </c>
      <c r="I290">
        <f t="shared" ref="I290:I353" si="70">AVERAGE(F270:F289)</f>
        <v>604.15950011999996</v>
      </c>
      <c r="J290" s="4">
        <f t="shared" si="57"/>
        <v>599.60290428548399</v>
      </c>
      <c r="K290">
        <f t="shared" si="62"/>
        <v>-6.098576582186559E-3</v>
      </c>
      <c r="L290">
        <f t="shared" si="65"/>
        <v>-8.5026376037163011E-4</v>
      </c>
      <c r="M290" s="3">
        <f t="shared" si="58"/>
        <v>-3.5544311573273702E-5</v>
      </c>
      <c r="N290" t="str">
        <f t="shared" ca="1" si="59"/>
        <v>wait</v>
      </c>
      <c r="O290">
        <f t="shared" si="66"/>
        <v>-1.1626380256130942E-2</v>
      </c>
      <c r="P290">
        <f t="shared" si="67"/>
        <v>-1.4429316689541949E-2</v>
      </c>
      <c r="Q290">
        <f t="shared" si="68"/>
        <v>-2.219127074974836E-2</v>
      </c>
      <c r="R290">
        <f t="shared" si="63"/>
        <v>-5.8651238803009154E-3</v>
      </c>
      <c r="S290" s="3">
        <f t="shared" si="69"/>
        <v>7.599355843590911E-3</v>
      </c>
      <c r="T290" s="3">
        <f t="shared" si="60"/>
        <v>-4.4323976780008371E-4</v>
      </c>
      <c r="V290" t="str">
        <f t="shared" si="61"/>
        <v>-11-1</v>
      </c>
    </row>
    <row r="291" spans="1:22">
      <c r="A291" s="1">
        <v>45715</v>
      </c>
      <c r="B291" t="s">
        <v>7</v>
      </c>
      <c r="C291">
        <v>596.84997559999999</v>
      </c>
      <c r="D291">
        <v>598.02001949999999</v>
      </c>
      <c r="E291">
        <v>584.65002440000001</v>
      </c>
      <c r="F291">
        <v>585.04998780000005</v>
      </c>
      <c r="G291">
        <v>74196700</v>
      </c>
      <c r="H291">
        <f t="shared" si="64"/>
        <v>599.26199949999989</v>
      </c>
      <c r="I291">
        <f t="shared" si="70"/>
        <v>603.66049804500005</v>
      </c>
      <c r="J291" s="4">
        <f t="shared" si="57"/>
        <v>599.58725861129051</v>
      </c>
      <c r="K291">
        <f t="shared" si="62"/>
        <v>-5.1902181502800401E-3</v>
      </c>
      <c r="L291">
        <f t="shared" si="65"/>
        <v>-6.0401286361082176E-4</v>
      </c>
      <c r="M291" s="3">
        <f t="shared" si="58"/>
        <v>-8.3400307749743774E-5</v>
      </c>
      <c r="N291" t="str">
        <f t="shared" ca="1" si="59"/>
        <v>wait</v>
      </c>
      <c r="O291">
        <f t="shared" si="66"/>
        <v>-4.0249905750946446E-3</v>
      </c>
      <c r="P291">
        <f t="shared" si="67"/>
        <v>-7.8797279052229552E-3</v>
      </c>
      <c r="Q291">
        <f t="shared" si="68"/>
        <v>-1.235188299304113E-2</v>
      </c>
      <c r="R291">
        <f t="shared" si="63"/>
        <v>9.8393877567072296E-3</v>
      </c>
      <c r="S291" s="3">
        <f t="shared" si="69"/>
        <v>6.7934055889439888E-3</v>
      </c>
      <c r="T291" s="3">
        <f t="shared" si="60"/>
        <v>-8.0595025464692219E-4</v>
      </c>
      <c r="V291" t="str">
        <f t="shared" si="61"/>
        <v>-11-1</v>
      </c>
    </row>
    <row r="292" spans="1:22">
      <c r="A292" s="1">
        <v>45716</v>
      </c>
      <c r="B292" t="s">
        <v>7</v>
      </c>
      <c r="C292">
        <v>585.55999759999997</v>
      </c>
      <c r="D292">
        <v>594.71997069999998</v>
      </c>
      <c r="E292">
        <v>582.44000240000003</v>
      </c>
      <c r="F292">
        <v>594.17999269999996</v>
      </c>
      <c r="G292">
        <v>88744100</v>
      </c>
      <c r="H292">
        <f t="shared" si="64"/>
        <v>594.19599607999999</v>
      </c>
      <c r="I292">
        <f t="shared" si="70"/>
        <v>602.82249755499993</v>
      </c>
      <c r="J292" s="4">
        <f t="shared" si="57"/>
        <v>599.38596761935491</v>
      </c>
      <c r="K292">
        <f t="shared" si="62"/>
        <v>-4.9638345636010125E-3</v>
      </c>
      <c r="L292">
        <f t="shared" si="65"/>
        <v>-1.6519561456152213E-3</v>
      </c>
      <c r="M292" s="3">
        <f t="shared" si="58"/>
        <v>-4.3286539488567982E-4</v>
      </c>
      <c r="N292" t="str">
        <f t="shared" ca="1" si="59"/>
        <v>wait</v>
      </c>
      <c r="O292">
        <f t="shared" si="66"/>
        <v>-1.4533922370687402E-2</v>
      </c>
      <c r="P292">
        <f t="shared" si="67"/>
        <v>-1.5392241516835381E-2</v>
      </c>
      <c r="Q292">
        <f t="shared" si="68"/>
        <v>-1.6065358472585167E-2</v>
      </c>
      <c r="R292">
        <f t="shared" si="63"/>
        <v>-3.7134754795440372E-3</v>
      </c>
      <c r="S292" s="3">
        <f t="shared" si="69"/>
        <v>5.7334173992998937E-3</v>
      </c>
      <c r="T292" s="3">
        <f t="shared" si="60"/>
        <v>-1.0599881896440951E-3</v>
      </c>
      <c r="V292" t="str">
        <f t="shared" si="61"/>
        <v>-11-1</v>
      </c>
    </row>
    <row r="293" spans="1:22">
      <c r="A293" s="1">
        <v>45719</v>
      </c>
      <c r="B293" t="s">
        <v>7</v>
      </c>
      <c r="C293">
        <v>596.17999269999996</v>
      </c>
      <c r="D293">
        <v>597.3400269</v>
      </c>
      <c r="E293">
        <v>579.90002440000001</v>
      </c>
      <c r="F293">
        <v>583.77001949999999</v>
      </c>
      <c r="G293">
        <v>74249200</v>
      </c>
      <c r="H293">
        <f t="shared" si="64"/>
        <v>593.04399414</v>
      </c>
      <c r="I293">
        <f t="shared" si="70"/>
        <v>602.27949829000011</v>
      </c>
      <c r="J293" s="4">
        <f t="shared" si="57"/>
        <v>599.28161226935492</v>
      </c>
      <c r="K293">
        <f t="shared" si="62"/>
        <v>-1.0147282156628054E-3</v>
      </c>
      <c r="L293">
        <f t="shared" si="65"/>
        <v>-6.3474249005746584E-4</v>
      </c>
      <c r="M293" s="3">
        <f t="shared" si="58"/>
        <v>-1.2941970918890129E-4</v>
      </c>
      <c r="N293" t="str">
        <f t="shared" ca="1" si="59"/>
        <v>wait</v>
      </c>
      <c r="O293">
        <f t="shared" si="66"/>
        <v>5.2879695115159997E-3</v>
      </c>
      <c r="P293">
        <f t="shared" si="67"/>
        <v>1.9155384275451048E-3</v>
      </c>
      <c r="Q293">
        <f t="shared" si="68"/>
        <v>-1.7880615679073397E-2</v>
      </c>
      <c r="R293">
        <f t="shared" si="63"/>
        <v>-1.81525720648823E-3</v>
      </c>
      <c r="S293" s="3">
        <f t="shared" si="69"/>
        <v>5.0024662183323319E-3</v>
      </c>
      <c r="T293" s="3">
        <f t="shared" si="60"/>
        <v>-7.3095118096756177E-4</v>
      </c>
      <c r="V293" t="str">
        <f t="shared" si="61"/>
        <v>-11-1</v>
      </c>
    </row>
    <row r="294" spans="1:22">
      <c r="A294" s="1">
        <v>45720</v>
      </c>
      <c r="B294" t="s">
        <v>7</v>
      </c>
      <c r="C294">
        <v>579.71002199999998</v>
      </c>
      <c r="D294">
        <v>585.39001459999997</v>
      </c>
      <c r="E294">
        <v>572.25</v>
      </c>
      <c r="F294">
        <v>576.85998540000003</v>
      </c>
      <c r="G294">
        <v>109648200</v>
      </c>
      <c r="H294">
        <f t="shared" si="64"/>
        <v>590.35599363999995</v>
      </c>
      <c r="I294">
        <f t="shared" si="70"/>
        <v>601.37699889999999</v>
      </c>
      <c r="J294" s="4">
        <f t="shared" si="57"/>
        <v>599.03870908225815</v>
      </c>
      <c r="K294">
        <f t="shared" si="62"/>
        <v>-3.5238189528362636E-3</v>
      </c>
      <c r="L294">
        <f t="shared" si="65"/>
        <v>-1.1710189155781172E-3</v>
      </c>
      <c r="M294" s="3">
        <f t="shared" si="58"/>
        <v>-5.1945809974949218E-4</v>
      </c>
      <c r="N294" t="str">
        <f t="shared" ca="1" si="59"/>
        <v>wait</v>
      </c>
      <c r="O294">
        <f t="shared" si="66"/>
        <v>-1.8033138910573898E-2</v>
      </c>
      <c r="P294">
        <f t="shared" si="67"/>
        <v>-1.1155936775355424E-2</v>
      </c>
      <c r="Q294">
        <f t="shared" si="68"/>
        <v>-1.7711295138261973E-2</v>
      </c>
      <c r="R294">
        <f t="shared" si="63"/>
        <v>1.69320540811424E-4</v>
      </c>
      <c r="S294" s="3">
        <f t="shared" si="69"/>
        <v>3.9034035401888387E-3</v>
      </c>
      <c r="T294" s="3">
        <f t="shared" si="60"/>
        <v>-1.0990626781434932E-3</v>
      </c>
      <c r="V294" t="str">
        <f t="shared" si="61"/>
        <v>-11-1</v>
      </c>
    </row>
    <row r="295" spans="1:22">
      <c r="A295" s="1">
        <v>45721</v>
      </c>
      <c r="B295" t="s">
        <v>7</v>
      </c>
      <c r="C295">
        <v>576.69000240000003</v>
      </c>
      <c r="D295">
        <v>584.88000490000002</v>
      </c>
      <c r="E295">
        <v>573.08001709999996</v>
      </c>
      <c r="F295">
        <v>583.05999759999997</v>
      </c>
      <c r="G295">
        <v>71230500</v>
      </c>
      <c r="H295">
        <f t="shared" si="64"/>
        <v>586.87999267999999</v>
      </c>
      <c r="I295">
        <f t="shared" si="70"/>
        <v>600.33149719500011</v>
      </c>
      <c r="J295" s="4">
        <f t="shared" si="57"/>
        <v>598.62435420483882</v>
      </c>
      <c r="K295">
        <f t="shared" si="62"/>
        <v>-5.9474529061862309E-3</v>
      </c>
      <c r="L295">
        <f t="shared" si="65"/>
        <v>-2.070527658502342E-3</v>
      </c>
      <c r="M295" s="3">
        <f t="shared" si="58"/>
        <v>-7.3913985064506609E-4</v>
      </c>
      <c r="N295" t="str">
        <f t="shared" ca="1" si="59"/>
        <v>buy</v>
      </c>
      <c r="O295">
        <f t="shared" si="66"/>
        <v>-1.7362988016454861E-2</v>
      </c>
      <c r="P295">
        <f t="shared" si="67"/>
        <v>-1.7073349585906672E-2</v>
      </c>
      <c r="Q295">
        <f t="shared" si="68"/>
        <v>-2.4928422952692264E-2</v>
      </c>
      <c r="R295">
        <f t="shared" si="63"/>
        <v>-7.2171278144302908E-3</v>
      </c>
      <c r="S295" s="3">
        <f t="shared" si="69"/>
        <v>2.8517767079973039E-3</v>
      </c>
      <c r="T295" s="3">
        <f t="shared" si="60"/>
        <v>-1.0516268321915348E-3</v>
      </c>
      <c r="V295" t="str">
        <f t="shared" si="61"/>
        <v>-11-1</v>
      </c>
    </row>
    <row r="296" spans="1:22">
      <c r="A296" s="1">
        <v>45722</v>
      </c>
      <c r="B296" t="s">
        <v>7</v>
      </c>
      <c r="C296">
        <v>575.47998050000001</v>
      </c>
      <c r="D296">
        <v>580.16998290000004</v>
      </c>
      <c r="E296">
        <v>570.11999509999998</v>
      </c>
      <c r="F296">
        <v>572.71002199999998</v>
      </c>
      <c r="G296">
        <v>80094900</v>
      </c>
      <c r="H296">
        <f t="shared" si="64"/>
        <v>584.58399659999998</v>
      </c>
      <c r="I296">
        <f t="shared" si="70"/>
        <v>599.39549561000001</v>
      </c>
      <c r="J296" s="4">
        <f t="shared" si="57"/>
        <v>598.29257989354858</v>
      </c>
      <c r="K296">
        <f t="shared" si="62"/>
        <v>-6.8028040047762883E-4</v>
      </c>
      <c r="L296">
        <f t="shared" si="65"/>
        <v>-1.7510157000840093E-3</v>
      </c>
      <c r="M296" s="3">
        <f t="shared" si="58"/>
        <v>-5.7541621623315295E-4</v>
      </c>
      <c r="N296" t="str">
        <f t="shared" ca="1" si="59"/>
        <v>wait</v>
      </c>
      <c r="O296">
        <f t="shared" si="66"/>
        <v>-1.5573495259791348E-2</v>
      </c>
      <c r="P296">
        <f t="shared" si="67"/>
        <v>-2.6069803635812017E-3</v>
      </c>
      <c r="Q296">
        <f t="shared" si="68"/>
        <v>-1.9678916232582999E-2</v>
      </c>
      <c r="R296">
        <f t="shared" si="63"/>
        <v>5.2495067201092649E-3</v>
      </c>
      <c r="S296" s="3">
        <f t="shared" si="69"/>
        <v>1.84343873468675E-3</v>
      </c>
      <c r="T296" s="3">
        <f t="shared" si="60"/>
        <v>-1.0083379733105539E-3</v>
      </c>
      <c r="V296" t="str">
        <f t="shared" si="61"/>
        <v>-11-1</v>
      </c>
    </row>
    <row r="297" spans="1:22">
      <c r="A297" s="1">
        <v>45723</v>
      </c>
      <c r="B297" t="s">
        <v>7</v>
      </c>
      <c r="C297">
        <v>570.90002440000001</v>
      </c>
      <c r="D297">
        <v>577.39001459999997</v>
      </c>
      <c r="E297">
        <v>565.63000490000002</v>
      </c>
      <c r="F297">
        <v>575.91998290000004</v>
      </c>
      <c r="G297">
        <v>81158800</v>
      </c>
      <c r="H297">
        <f t="shared" si="64"/>
        <v>582.11600343999999</v>
      </c>
      <c r="I297">
        <f t="shared" si="70"/>
        <v>597.8199981749998</v>
      </c>
      <c r="J297" s="4">
        <f t="shared" si="57"/>
        <v>597.78935487580645</v>
      </c>
      <c r="K297">
        <f t="shared" si="62"/>
        <v>-7.2267565262299606E-3</v>
      </c>
      <c r="L297">
        <f t="shared" si="65"/>
        <v>-2.7716374930186194E-3</v>
      </c>
      <c r="M297" s="3">
        <f t="shared" si="58"/>
        <v>-9.5859396831481103E-4</v>
      </c>
      <c r="N297" t="str">
        <f t="shared" ca="1" si="59"/>
        <v>wait</v>
      </c>
      <c r="O297">
        <f t="shared" si="66"/>
        <v>-1.9267601257686451E-2</v>
      </c>
      <c r="P297">
        <f t="shared" si="67"/>
        <v>-1.6158259495385074E-2</v>
      </c>
      <c r="Q297">
        <f t="shared" si="68"/>
        <v>-2.0607590702041989E-2</v>
      </c>
      <c r="R297">
        <f t="shared" si="63"/>
        <v>-9.286744694589899E-4</v>
      </c>
      <c r="S297" s="3">
        <f t="shared" si="69"/>
        <v>5.1261031905979157E-5</v>
      </c>
      <c r="T297" s="3">
        <f t="shared" si="60"/>
        <v>-1.7921777027807709E-3</v>
      </c>
      <c r="V297" t="str">
        <f t="shared" si="61"/>
        <v>-11-1</v>
      </c>
    </row>
    <row r="298" spans="1:22">
      <c r="A298" s="1">
        <v>45726</v>
      </c>
      <c r="B298" t="s">
        <v>7</v>
      </c>
      <c r="C298">
        <v>567.5900269</v>
      </c>
      <c r="D298">
        <v>569.53997800000002</v>
      </c>
      <c r="E298">
        <v>555.5900269</v>
      </c>
      <c r="F298">
        <v>560.58001709999996</v>
      </c>
      <c r="G298">
        <v>99326600</v>
      </c>
      <c r="H298">
        <f t="shared" si="64"/>
        <v>578.46400147999998</v>
      </c>
      <c r="I298">
        <f t="shared" si="70"/>
        <v>596.29999695499987</v>
      </c>
      <c r="J298" s="4">
        <f t="shared" si="57"/>
        <v>597.27741954999988</v>
      </c>
      <c r="K298">
        <f t="shared" si="62"/>
        <v>-2.689427801285007E-3</v>
      </c>
      <c r="L298">
        <f t="shared" si="65"/>
        <v>-2.0681821490261595E-3</v>
      </c>
      <c r="M298" s="3">
        <f t="shared" si="58"/>
        <v>-8.4451454310065048E-4</v>
      </c>
      <c r="N298" t="str">
        <f t="shared" ca="1" si="59"/>
        <v>wait</v>
      </c>
      <c r="O298">
        <f t="shared" si="66"/>
        <v>-1.8798014314078126E-2</v>
      </c>
      <c r="P298">
        <f t="shared" si="67"/>
        <v>-4.3978857344468825E-3</v>
      </c>
      <c r="Q298">
        <f t="shared" si="68"/>
        <v>-2.2186335791275158E-2</v>
      </c>
      <c r="R298">
        <f t="shared" si="63"/>
        <v>-1.5787450892331689E-3</v>
      </c>
      <c r="S298" s="3">
        <f t="shared" si="69"/>
        <v>-1.6364633301162062E-3</v>
      </c>
      <c r="T298" s="3">
        <f t="shared" si="60"/>
        <v>-1.6877243620221853E-3</v>
      </c>
      <c r="V298" t="str">
        <f t="shared" si="61"/>
        <v>-1-1-1</v>
      </c>
    </row>
    <row r="299" spans="1:22">
      <c r="A299" s="1">
        <v>45727</v>
      </c>
      <c r="B299" t="s">
        <v>7</v>
      </c>
      <c r="C299">
        <v>559.40002440000001</v>
      </c>
      <c r="D299">
        <v>564.02001949999999</v>
      </c>
      <c r="E299">
        <v>552.02001949999999</v>
      </c>
      <c r="F299">
        <v>555.91998290000004</v>
      </c>
      <c r="G299">
        <v>88102100</v>
      </c>
      <c r="H299">
        <f t="shared" si="64"/>
        <v>573.82600100000002</v>
      </c>
      <c r="I299">
        <f t="shared" si="70"/>
        <v>594.29049683499989</v>
      </c>
      <c r="J299" s="4">
        <f t="shared" si="57"/>
        <v>596.53419445322572</v>
      </c>
      <c r="K299">
        <f t="shared" si="62"/>
        <v>-5.6443396013025181E-3</v>
      </c>
      <c r="L299">
        <f t="shared" si="65"/>
        <v>-3.6595817381066312E-3</v>
      </c>
      <c r="M299" s="3">
        <f t="shared" si="58"/>
        <v>-1.295086202554867E-3</v>
      </c>
      <c r="N299" t="str">
        <f t="shared" ca="1" si="59"/>
        <v>buy</v>
      </c>
      <c r="O299">
        <f t="shared" si="66"/>
        <v>-2.513998420228436E-2</v>
      </c>
      <c r="P299">
        <f t="shared" si="67"/>
        <v>-2.3083624438272943E-2</v>
      </c>
      <c r="Q299">
        <f t="shared" si="68"/>
        <v>-3.177962321020722E-2</v>
      </c>
      <c r="R299">
        <f t="shared" si="63"/>
        <v>-9.5932874189320616E-3</v>
      </c>
      <c r="S299" s="3">
        <f t="shared" si="69"/>
        <v>-3.7612221379570323E-3</v>
      </c>
      <c r="T299" s="3">
        <f t="shared" si="60"/>
        <v>-2.1247588078408264E-3</v>
      </c>
      <c r="V299" t="str">
        <f t="shared" si="61"/>
        <v>-1-1-1</v>
      </c>
    </row>
    <row r="300" spans="1:22">
      <c r="A300" s="1">
        <v>45728</v>
      </c>
      <c r="B300" t="s">
        <v>7</v>
      </c>
      <c r="C300">
        <v>562.16998290000004</v>
      </c>
      <c r="D300">
        <v>563.10998540000003</v>
      </c>
      <c r="E300">
        <v>553.69000240000003</v>
      </c>
      <c r="F300">
        <v>558.86999509999998</v>
      </c>
      <c r="G300">
        <v>69588200</v>
      </c>
      <c r="H300">
        <f t="shared" si="64"/>
        <v>569.63800049999998</v>
      </c>
      <c r="I300">
        <f t="shared" si="70"/>
        <v>591.84399719999999</v>
      </c>
      <c r="J300" s="4">
        <f t="shared" si="57"/>
        <v>595.69725873225786</v>
      </c>
      <c r="K300">
        <f t="shared" si="62"/>
        <v>-9.3095101058944408E-3</v>
      </c>
      <c r="L300">
        <f t="shared" si="65"/>
        <v>-4.0797289732390782E-3</v>
      </c>
      <c r="M300" s="3">
        <f t="shared" si="58"/>
        <v>-1.3439618307384403E-3</v>
      </c>
      <c r="N300" t="str">
        <f t="shared" ca="1" si="59"/>
        <v>wait</v>
      </c>
      <c r="O300">
        <f t="shared" si="66"/>
        <v>-1.3110111322357176E-2</v>
      </c>
      <c r="P300">
        <f t="shared" si="67"/>
        <v>-2.4081991699919869E-2</v>
      </c>
      <c r="Q300">
        <f t="shared" si="68"/>
        <v>-3.0928380804187583E-2</v>
      </c>
      <c r="R300">
        <f t="shared" si="63"/>
        <v>8.5124240601963663E-4</v>
      </c>
      <c r="S300" s="3">
        <f t="shared" si="69"/>
        <v>-6.4684896157794179E-3</v>
      </c>
      <c r="T300" s="3">
        <f t="shared" si="60"/>
        <v>-2.7072674778223856E-3</v>
      </c>
      <c r="V300" t="str">
        <f t="shared" si="61"/>
        <v>-1-1-1</v>
      </c>
    </row>
    <row r="301" spans="1:22">
      <c r="A301" s="1">
        <v>45729</v>
      </c>
      <c r="B301" t="s">
        <v>7</v>
      </c>
      <c r="C301">
        <v>558.48999019999997</v>
      </c>
      <c r="D301">
        <v>559.10998540000003</v>
      </c>
      <c r="E301">
        <v>549.67999269999996</v>
      </c>
      <c r="F301">
        <v>551.41998290000004</v>
      </c>
      <c r="G301">
        <v>74079400</v>
      </c>
      <c r="H301">
        <f t="shared" si="64"/>
        <v>564.79999999999995</v>
      </c>
      <c r="I301">
        <f t="shared" si="70"/>
        <v>589.52199707499994</v>
      </c>
      <c r="J301" s="4">
        <f t="shared" si="57"/>
        <v>594.95838780322572</v>
      </c>
      <c r="K301">
        <f t="shared" si="62"/>
        <v>-4.8331708433068058E-3</v>
      </c>
      <c r="L301">
        <f t="shared" si="65"/>
        <v>-3.6868529051114667E-3</v>
      </c>
      <c r="M301" s="3">
        <f t="shared" si="58"/>
        <v>-1.2146094223925614E-3</v>
      </c>
      <c r="N301" t="str">
        <f t="shared" ca="1" si="59"/>
        <v>wait</v>
      </c>
      <c r="O301">
        <f t="shared" si="66"/>
        <v>-1.1172113668555195E-2</v>
      </c>
      <c r="P301">
        <f t="shared" si="67"/>
        <v>-1.0499300460339867E-2</v>
      </c>
      <c r="Q301">
        <f t="shared" si="68"/>
        <v>-1.9670675637393664E-2</v>
      </c>
      <c r="R301">
        <f t="shared" si="63"/>
        <v>1.1257705166793919E-2</v>
      </c>
      <c r="S301" s="3">
        <f t="shared" si="69"/>
        <v>-9.1374301794427092E-3</v>
      </c>
      <c r="T301" s="3">
        <f t="shared" si="60"/>
        <v>-2.6689405636632912E-3</v>
      </c>
      <c r="V301" t="str">
        <f t="shared" si="61"/>
        <v>-1-1-1</v>
      </c>
    </row>
    <row r="302" spans="1:22">
      <c r="A302" s="1">
        <v>45730</v>
      </c>
      <c r="B302" t="s">
        <v>7</v>
      </c>
      <c r="C302">
        <v>556.10998540000003</v>
      </c>
      <c r="D302">
        <v>563.83001709999996</v>
      </c>
      <c r="E302">
        <v>551.48999019999997</v>
      </c>
      <c r="F302">
        <v>562.80999759999997</v>
      </c>
      <c r="G302">
        <v>62660300</v>
      </c>
      <c r="H302">
        <f t="shared" si="64"/>
        <v>560.54199217999997</v>
      </c>
      <c r="I302">
        <f t="shared" si="70"/>
        <v>586.92499695000004</v>
      </c>
      <c r="J302" s="4">
        <f t="shared" si="57"/>
        <v>594.12967804677419</v>
      </c>
      <c r="K302">
        <f t="shared" si="62"/>
        <v>-8.5081263812490631E-3</v>
      </c>
      <c r="L302">
        <f t="shared" si="65"/>
        <v>-4.7816246096496458E-3</v>
      </c>
      <c r="M302" s="3">
        <f t="shared" si="58"/>
        <v>-1.5375508146059787E-3</v>
      </c>
      <c r="N302" t="str">
        <f t="shared" ca="1" si="59"/>
        <v>wait</v>
      </c>
      <c r="O302">
        <f t="shared" si="66"/>
        <v>-7.9066454285849908E-3</v>
      </c>
      <c r="P302">
        <f t="shared" si="67"/>
        <v>-1.6273552039381745E-2</v>
      </c>
      <c r="Q302">
        <f t="shared" si="68"/>
        <v>-1.9377673094136405E-2</v>
      </c>
      <c r="R302">
        <f t="shared" si="63"/>
        <v>2.9300254325725916E-4</v>
      </c>
      <c r="S302" s="3">
        <f t="shared" si="69"/>
        <v>-1.2126445392291862E-2</v>
      </c>
      <c r="T302" s="3">
        <f t="shared" si="60"/>
        <v>-2.9890152128491526E-3</v>
      </c>
      <c r="V302" t="str">
        <f t="shared" si="61"/>
        <v>-1-1-1</v>
      </c>
    </row>
    <row r="303" spans="1:22">
      <c r="A303" s="1">
        <v>45733</v>
      </c>
      <c r="B303" t="s">
        <v>7</v>
      </c>
      <c r="C303">
        <v>562.78997800000002</v>
      </c>
      <c r="D303">
        <v>569.71002199999998</v>
      </c>
      <c r="E303">
        <v>562.34997559999999</v>
      </c>
      <c r="F303">
        <v>567.15002440000001</v>
      </c>
      <c r="G303">
        <v>49008700</v>
      </c>
      <c r="H303">
        <f t="shared" si="64"/>
        <v>557.91999511999995</v>
      </c>
      <c r="I303">
        <f t="shared" si="70"/>
        <v>584.57899780499997</v>
      </c>
      <c r="J303" s="4">
        <f t="shared" si="57"/>
        <v>593.4095163629031</v>
      </c>
      <c r="K303">
        <f t="shared" si="62"/>
        <v>7.9559757107867512E-4</v>
      </c>
      <c r="L303">
        <f t="shared" si="65"/>
        <v>-3.8453348910725159E-3</v>
      </c>
      <c r="M303" s="3">
        <f t="shared" si="58"/>
        <v>-1.1450702520465616E-3</v>
      </c>
      <c r="N303" t="str">
        <f t="shared" ca="1" si="59"/>
        <v>wait</v>
      </c>
      <c r="O303">
        <f t="shared" si="66"/>
        <v>8.7288194052852486E-3</v>
      </c>
      <c r="P303">
        <f t="shared" si="67"/>
        <v>8.7647019694074846E-3</v>
      </c>
      <c r="Q303">
        <f t="shared" si="68"/>
        <v>-1.1524958732868185E-2</v>
      </c>
      <c r="R303">
        <f t="shared" si="63"/>
        <v>7.8527143612682204E-3</v>
      </c>
      <c r="S303" s="3">
        <f t="shared" si="69"/>
        <v>-1.4880985751672337E-2</v>
      </c>
      <c r="T303" s="3">
        <f t="shared" si="60"/>
        <v>-2.7545403593804748E-3</v>
      </c>
      <c r="V303" t="str">
        <f t="shared" si="61"/>
        <v>-1-1-1</v>
      </c>
    </row>
    <row r="304" spans="1:22">
      <c r="A304" s="1">
        <v>45734</v>
      </c>
      <c r="B304" t="s">
        <v>7</v>
      </c>
      <c r="C304">
        <v>564.79998780000005</v>
      </c>
      <c r="D304">
        <v>565.02001949999999</v>
      </c>
      <c r="E304">
        <v>559.05999759999997</v>
      </c>
      <c r="F304">
        <v>561.02001949999999</v>
      </c>
      <c r="G304">
        <v>66041400</v>
      </c>
      <c r="H304">
        <f t="shared" si="64"/>
        <v>559.23399657999994</v>
      </c>
      <c r="I304">
        <f t="shared" si="70"/>
        <v>582.45149841500006</v>
      </c>
      <c r="J304" s="4">
        <f t="shared" si="57"/>
        <v>592.80983906129029</v>
      </c>
      <c r="K304">
        <f t="shared" si="62"/>
        <v>4.0401647163023652E-3</v>
      </c>
      <c r="L304">
        <f t="shared" si="65"/>
        <v>-3.6255675898715601E-3</v>
      </c>
      <c r="M304" s="3">
        <f t="shared" si="58"/>
        <v>-1.022271402619446E-3</v>
      </c>
      <c r="N304" t="str">
        <f t="shared" ca="1" si="59"/>
        <v>wait</v>
      </c>
      <c r="O304">
        <f t="shared" si="66"/>
        <v>9.9528842202709633E-3</v>
      </c>
      <c r="P304">
        <f t="shared" si="67"/>
        <v>1.4155126241270466E-2</v>
      </c>
      <c r="Q304">
        <f t="shared" si="68"/>
        <v>5.5718698059414873E-3</v>
      </c>
      <c r="R304">
        <f t="shared" si="63"/>
        <v>1.7096828538809672E-2</v>
      </c>
      <c r="S304" s="3">
        <f t="shared" si="69"/>
        <v>-1.7473294071320714E-2</v>
      </c>
      <c r="T304" s="3">
        <f t="shared" si="60"/>
        <v>-2.592308319648377E-3</v>
      </c>
      <c r="V304" t="str">
        <f t="shared" si="61"/>
        <v>-1-1-1</v>
      </c>
    </row>
    <row r="305" spans="1:22">
      <c r="A305" s="1">
        <v>45735</v>
      </c>
      <c r="B305" t="s">
        <v>7</v>
      </c>
      <c r="C305">
        <v>562.83001709999996</v>
      </c>
      <c r="D305">
        <v>570.95001219999995</v>
      </c>
      <c r="E305">
        <v>561.63000490000002</v>
      </c>
      <c r="F305">
        <v>567.13000490000002</v>
      </c>
      <c r="G305">
        <v>66556000</v>
      </c>
      <c r="H305">
        <f t="shared" si="64"/>
        <v>560.25400389999993</v>
      </c>
      <c r="I305">
        <f t="shared" si="70"/>
        <v>579.92799988000002</v>
      </c>
      <c r="J305" s="4">
        <f t="shared" si="57"/>
        <v>592.11322611774187</v>
      </c>
      <c r="K305">
        <f t="shared" si="62"/>
        <v>7.694184403710195E-4</v>
      </c>
      <c r="L305">
        <f t="shared" si="65"/>
        <v>-4.2345760379038453E-3</v>
      </c>
      <c r="M305" s="3">
        <f t="shared" si="58"/>
        <v>-1.2571609112282786E-3</v>
      </c>
      <c r="N305" t="str">
        <f t="shared" ca="1" si="59"/>
        <v>wait</v>
      </c>
      <c r="O305">
        <f t="shared" si="66"/>
        <v>4.5979380460792196E-3</v>
      </c>
      <c r="P305">
        <f t="shared" si="67"/>
        <v>1.3672648382121455E-3</v>
      </c>
      <c r="Q305">
        <f t="shared" si="68"/>
        <v>-2.1311874465659297E-3</v>
      </c>
      <c r="R305">
        <f t="shared" si="63"/>
        <v>-7.703057252507417E-3</v>
      </c>
      <c r="S305" s="3">
        <f t="shared" si="69"/>
        <v>-2.0579216440807596E-2</v>
      </c>
      <c r="T305" s="3">
        <f t="shared" si="60"/>
        <v>-3.1059223694868826E-3</v>
      </c>
      <c r="V305" t="str">
        <f t="shared" si="61"/>
        <v>-1-1-1</v>
      </c>
    </row>
    <row r="306" spans="1:22">
      <c r="A306" s="1">
        <v>45736</v>
      </c>
      <c r="B306" t="s">
        <v>7</v>
      </c>
      <c r="C306">
        <v>563.33001709999996</v>
      </c>
      <c r="D306">
        <v>570.57000730000004</v>
      </c>
      <c r="E306">
        <v>562.59997559999999</v>
      </c>
      <c r="F306">
        <v>565.48999019999997</v>
      </c>
      <c r="G306">
        <v>62958200</v>
      </c>
      <c r="H306">
        <f t="shared" si="64"/>
        <v>561.90600586000005</v>
      </c>
      <c r="I306">
        <f t="shared" si="70"/>
        <v>577.63800048999997</v>
      </c>
      <c r="J306" s="4">
        <f t="shared" si="57"/>
        <v>591.47354913225797</v>
      </c>
      <c r="K306">
        <f t="shared" si="62"/>
        <v>5.6980241874364538E-3</v>
      </c>
      <c r="L306">
        <f t="shared" si="65"/>
        <v>-3.5428749019298022E-3</v>
      </c>
      <c r="M306" s="3">
        <f t="shared" si="58"/>
        <v>-1.0248935238836611E-3</v>
      </c>
      <c r="N306" t="str">
        <f t="shared" ca="1" si="59"/>
        <v>wait</v>
      </c>
      <c r="O306">
        <f t="shared" si="66"/>
        <v>2.5342516811517335E-3</v>
      </c>
      <c r="P306">
        <f t="shared" si="67"/>
        <v>9.2969268623577239E-3</v>
      </c>
      <c r="Q306">
        <f t="shared" si="68"/>
        <v>-4.9118706175355076E-4</v>
      </c>
      <c r="R306">
        <f t="shared" si="63"/>
        <v>1.640000384812379E-3</v>
      </c>
      <c r="S306" s="3">
        <f t="shared" si="69"/>
        <v>-2.3391660814851199E-2</v>
      </c>
      <c r="T306" s="3">
        <f t="shared" si="60"/>
        <v>-2.8124443740436024E-3</v>
      </c>
      <c r="V306" t="str">
        <f t="shared" si="61"/>
        <v>-1-1-1</v>
      </c>
    </row>
    <row r="307" spans="1:22">
      <c r="A307" s="1">
        <v>45737</v>
      </c>
      <c r="B307" t="s">
        <v>7</v>
      </c>
      <c r="C307">
        <v>559.28002930000002</v>
      </c>
      <c r="D307">
        <v>564.89001459999997</v>
      </c>
      <c r="E307">
        <v>558.03002930000002</v>
      </c>
      <c r="F307">
        <v>563.97998050000001</v>
      </c>
      <c r="G307">
        <v>83763000</v>
      </c>
      <c r="H307">
        <f t="shared" si="64"/>
        <v>564.72000731999992</v>
      </c>
      <c r="I307">
        <f t="shared" si="70"/>
        <v>575.39349975499999</v>
      </c>
      <c r="J307" s="4">
        <f t="shared" si="57"/>
        <v>590.84774287741925</v>
      </c>
      <c r="K307">
        <f t="shared" si="62"/>
        <v>9.523614048891555E-4</v>
      </c>
      <c r="L307">
        <f t="shared" si="65"/>
        <v>-2.8711214506605852E-3</v>
      </c>
      <c r="M307" s="3">
        <f t="shared" si="58"/>
        <v>-5.9101561429676967E-4</v>
      </c>
      <c r="N307" t="str">
        <f t="shared" ca="1" si="59"/>
        <v>wait</v>
      </c>
      <c r="O307">
        <f t="shared" si="66"/>
        <v>-9.6330534592115047E-3</v>
      </c>
      <c r="P307">
        <f t="shared" si="67"/>
        <v>1.3634772453947619E-3</v>
      </c>
      <c r="Q307">
        <f t="shared" si="68"/>
        <v>-3.7541289356135543E-3</v>
      </c>
      <c r="R307">
        <f t="shared" si="63"/>
        <v>-3.2629418738600036E-3</v>
      </c>
      <c r="S307" s="3">
        <f t="shared" si="69"/>
        <v>-2.6156050029331305E-2</v>
      </c>
      <c r="T307" s="3">
        <f t="shared" si="60"/>
        <v>-2.7643892144801063E-3</v>
      </c>
      <c r="V307" t="str">
        <f t="shared" si="61"/>
        <v>-1-1-1</v>
      </c>
    </row>
    <row r="308" spans="1:22">
      <c r="A308" s="1">
        <v>45740</v>
      </c>
      <c r="B308" t="s">
        <v>7</v>
      </c>
      <c r="C308">
        <v>570.79998780000005</v>
      </c>
      <c r="D308">
        <v>575.15002440000001</v>
      </c>
      <c r="E308">
        <v>570.20001219999995</v>
      </c>
      <c r="F308">
        <v>574.08001709999996</v>
      </c>
      <c r="G308">
        <v>58766800</v>
      </c>
      <c r="H308">
        <f t="shared" si="64"/>
        <v>564.95400390000009</v>
      </c>
      <c r="I308">
        <f t="shared" si="70"/>
        <v>573.59549865999998</v>
      </c>
      <c r="J308" s="4">
        <f t="shared" si="57"/>
        <v>590.48806467096767</v>
      </c>
      <c r="K308">
        <f t="shared" si="62"/>
        <v>-1.117885484833983E-3</v>
      </c>
      <c r="L308">
        <f t="shared" si="65"/>
        <v>-2.782106819701024E-3</v>
      </c>
      <c r="M308" s="3">
        <f t="shared" si="58"/>
        <v>-6.2901655067054013E-4</v>
      </c>
      <c r="N308" t="str">
        <f t="shared" ca="1" si="59"/>
        <v>wait</v>
      </c>
      <c r="O308">
        <f t="shared" si="66"/>
        <v>1.0347716556823761E-2</v>
      </c>
      <c r="P308">
        <f t="shared" si="67"/>
        <v>-1.7240755765534077E-3</v>
      </c>
      <c r="Q308">
        <f t="shared" si="68"/>
        <v>-1.2255820035263709E-2</v>
      </c>
      <c r="R308">
        <f t="shared" si="63"/>
        <v>-8.5016910996501549E-3</v>
      </c>
      <c r="S308" s="3">
        <f t="shared" si="69"/>
        <v>-2.8607802632523303E-2</v>
      </c>
      <c r="T308" s="3">
        <f t="shared" si="60"/>
        <v>-2.4517526031919978E-3</v>
      </c>
      <c r="V308" t="str">
        <f t="shared" si="61"/>
        <v>-1-1-1</v>
      </c>
    </row>
    <row r="309" spans="1:22">
      <c r="A309" s="1">
        <v>45741</v>
      </c>
      <c r="B309" t="s">
        <v>7</v>
      </c>
      <c r="C309">
        <v>575.29998780000005</v>
      </c>
      <c r="D309">
        <v>576.4099731</v>
      </c>
      <c r="E309">
        <v>573.69000240000003</v>
      </c>
      <c r="F309">
        <v>575.46002199999998</v>
      </c>
      <c r="G309">
        <v>38355700</v>
      </c>
      <c r="H309">
        <f t="shared" si="64"/>
        <v>566.34000244000003</v>
      </c>
      <c r="I309">
        <f t="shared" si="70"/>
        <v>572.43899841500001</v>
      </c>
      <c r="J309" s="4">
        <f t="shared" si="57"/>
        <v>590.29419437258059</v>
      </c>
      <c r="K309">
        <f t="shared" si="62"/>
        <v>4.6558044797187399E-3</v>
      </c>
      <c r="L309">
        <f t="shared" si="65"/>
        <v>-1.6962820941430479E-3</v>
      </c>
      <c r="M309" s="3">
        <f t="shared" si="58"/>
        <v>-4.8126551623748416E-4</v>
      </c>
      <c r="N309" t="str">
        <f t="shared" ca="1" si="59"/>
        <v>wait</v>
      </c>
      <c r="O309">
        <f t="shared" si="66"/>
        <v>1.5820859062395609E-2</v>
      </c>
      <c r="P309">
        <f t="shared" si="67"/>
        <v>1.3666727807771117E-2</v>
      </c>
      <c r="Q309">
        <f t="shared" si="68"/>
        <v>6.8157109569686458E-3</v>
      </c>
      <c r="R309">
        <f t="shared" si="63"/>
        <v>1.9071530992232355E-2</v>
      </c>
      <c r="S309" s="3">
        <f t="shared" si="69"/>
        <v>-3.0247961317930179E-2</v>
      </c>
      <c r="T309" s="3">
        <f t="shared" si="60"/>
        <v>-1.6401586854068763E-3</v>
      </c>
      <c r="V309" t="str">
        <f t="shared" si="61"/>
        <v>-1-1-1</v>
      </c>
    </row>
    <row r="310" spans="1:22">
      <c r="A310" s="1">
        <v>45742</v>
      </c>
      <c r="B310" t="s">
        <v>7</v>
      </c>
      <c r="C310">
        <v>575.19000240000003</v>
      </c>
      <c r="D310">
        <v>576.33001709999996</v>
      </c>
      <c r="E310">
        <v>567.19000240000003</v>
      </c>
      <c r="F310">
        <v>568.5900269</v>
      </c>
      <c r="G310">
        <v>51848300</v>
      </c>
      <c r="H310">
        <f t="shared" si="64"/>
        <v>569.2280029399999</v>
      </c>
      <c r="I310">
        <f t="shared" si="70"/>
        <v>571.50000000499995</v>
      </c>
      <c r="J310" s="4">
        <f t="shared" si="57"/>
        <v>590.04112981774188</v>
      </c>
      <c r="K310">
        <f t="shared" si="62"/>
        <v>2.937604086551113E-3</v>
      </c>
      <c r="L310">
        <f t="shared" si="65"/>
        <v>-1.6045982361172725E-3</v>
      </c>
      <c r="M310" s="3">
        <f t="shared" si="58"/>
        <v>-5.3893570102051208E-4</v>
      </c>
      <c r="N310" t="str">
        <f t="shared" ca="1" si="59"/>
        <v>wait</v>
      </c>
      <c r="O310">
        <f t="shared" si="66"/>
        <v>1.0473833734825133E-2</v>
      </c>
      <c r="P310">
        <f t="shared" si="67"/>
        <v>1.0948194796834398E-2</v>
      </c>
      <c r="Q310">
        <f t="shared" si="68"/>
        <v>7.8386857936616483E-3</v>
      </c>
      <c r="R310">
        <f t="shared" si="63"/>
        <v>1.0229748366930025E-3</v>
      </c>
      <c r="S310" s="3">
        <f t="shared" si="69"/>
        <v>-3.1423453172610367E-2</v>
      </c>
      <c r="T310" s="3">
        <f t="shared" si="60"/>
        <v>-1.1754918546801885E-3</v>
      </c>
      <c r="V310" t="str">
        <f t="shared" si="61"/>
        <v>-1-1-1</v>
      </c>
    </row>
    <row r="311" spans="1:22">
      <c r="A311" s="1">
        <v>45743</v>
      </c>
      <c r="B311" t="s">
        <v>7</v>
      </c>
      <c r="C311">
        <v>567.17999269999996</v>
      </c>
      <c r="D311">
        <v>570.90002440000001</v>
      </c>
      <c r="E311">
        <v>564.94000240000003</v>
      </c>
      <c r="F311">
        <v>567.08001709999996</v>
      </c>
      <c r="G311">
        <v>42164200</v>
      </c>
      <c r="H311">
        <f t="shared" si="64"/>
        <v>569.52000734000001</v>
      </c>
      <c r="I311">
        <f t="shared" si="70"/>
        <v>570.20250244999988</v>
      </c>
      <c r="J311" s="4">
        <f t="shared" si="57"/>
        <v>589.62016247096778</v>
      </c>
      <c r="K311">
        <f t="shared" si="62"/>
        <v>1.0964072764236288E-3</v>
      </c>
      <c r="L311">
        <f t="shared" si="65"/>
        <v>-1.4067140623227317E-3</v>
      </c>
      <c r="M311" s="3">
        <f t="shared" si="58"/>
        <v>-9.0664564453862915E-4</v>
      </c>
      <c r="N311" t="str">
        <f t="shared" ca="1" si="59"/>
        <v>wait</v>
      </c>
      <c r="O311">
        <f t="shared" si="66"/>
        <v>-4.1087487881756868E-3</v>
      </c>
      <c r="P311">
        <f t="shared" si="67"/>
        <v>-1.6329197008259078E-3</v>
      </c>
      <c r="Q311">
        <f t="shared" si="68"/>
        <v>-4.0911731106383353E-3</v>
      </c>
      <c r="R311">
        <f t="shared" si="63"/>
        <v>-1.1929858904299984E-2</v>
      </c>
      <c r="S311" s="3">
        <f t="shared" si="69"/>
        <v>-3.2932489858543475E-2</v>
      </c>
      <c r="T311" s="3">
        <f t="shared" si="60"/>
        <v>-1.5090366859331072E-3</v>
      </c>
      <c r="V311" t="str">
        <f t="shared" si="61"/>
        <v>-1-1-1</v>
      </c>
    </row>
    <row r="312" spans="1:22">
      <c r="A312" s="1">
        <v>45744</v>
      </c>
      <c r="B312" t="s">
        <v>7</v>
      </c>
      <c r="C312">
        <v>565.53002930000002</v>
      </c>
      <c r="D312">
        <v>566.27001949999999</v>
      </c>
      <c r="E312">
        <v>555.07000730000004</v>
      </c>
      <c r="F312">
        <v>555.6599731</v>
      </c>
      <c r="G312">
        <v>71662700</v>
      </c>
      <c r="H312">
        <f t="shared" si="64"/>
        <v>569.83801272000005</v>
      </c>
      <c r="I312">
        <f t="shared" si="70"/>
        <v>569.30400391499984</v>
      </c>
      <c r="J312" s="4">
        <f t="shared" si="57"/>
        <v>589.06822745967736</v>
      </c>
      <c r="K312">
        <f t="shared" si="62"/>
        <v>1.0993427806609717E-3</v>
      </c>
      <c r="L312">
        <f t="shared" si="65"/>
        <v>-2.2804517093259575E-3</v>
      </c>
      <c r="M312" s="3">
        <f t="shared" si="58"/>
        <v>-9.4954624304144071E-4</v>
      </c>
      <c r="N312" t="str">
        <f t="shared" ca="1" si="59"/>
        <v>wait</v>
      </c>
      <c r="O312">
        <f t="shared" si="66"/>
        <v>-7.5600141160060419E-3</v>
      </c>
      <c r="P312">
        <f t="shared" si="67"/>
        <v>-4.8399642678019772E-3</v>
      </c>
      <c r="Q312">
        <f t="shared" si="68"/>
        <v>-8.5954432850494644E-3</v>
      </c>
      <c r="R312">
        <f t="shared" si="63"/>
        <v>-4.5042701744111291E-3</v>
      </c>
      <c r="S312" s="3">
        <f t="shared" si="69"/>
        <v>-3.3551671306241711E-2</v>
      </c>
      <c r="T312" s="3">
        <f t="shared" si="60"/>
        <v>-6.1918144769823602E-4</v>
      </c>
      <c r="V312" t="str">
        <f t="shared" si="61"/>
        <v>-1-1-1</v>
      </c>
    </row>
    <row r="313" spans="1:22">
      <c r="A313" s="1">
        <v>45747</v>
      </c>
      <c r="B313" t="s">
        <v>7</v>
      </c>
      <c r="C313">
        <v>549.83001709999996</v>
      </c>
      <c r="D313">
        <v>560.71002199999998</v>
      </c>
      <c r="E313">
        <v>546.86999509999998</v>
      </c>
      <c r="F313">
        <v>559.39001459999997</v>
      </c>
      <c r="G313">
        <v>95328200</v>
      </c>
      <c r="H313">
        <f t="shared" si="64"/>
        <v>568.17401124000003</v>
      </c>
      <c r="I313">
        <f t="shared" si="70"/>
        <v>567.37800293499981</v>
      </c>
      <c r="J313" s="4">
        <f t="shared" si="57"/>
        <v>588.331452398387</v>
      </c>
      <c r="K313">
        <f t="shared" si="62"/>
        <v>-6.4172392179926178E-3</v>
      </c>
      <c r="L313">
        <f t="shared" si="65"/>
        <v>-2.4076301849207922E-3</v>
      </c>
      <c r="M313" s="3">
        <f t="shared" si="58"/>
        <v>-1.1022233814527679E-3</v>
      </c>
      <c r="N313" t="str">
        <f t="shared" ca="1" si="59"/>
        <v>wait</v>
      </c>
      <c r="O313">
        <f t="shared" si="66"/>
        <v>-3.2285873301324708E-2</v>
      </c>
      <c r="P313">
        <f t="shared" si="67"/>
        <v>-2.2025009754826685E-2</v>
      </c>
      <c r="Q313">
        <f t="shared" si="68"/>
        <v>-2.3063363830037598E-2</v>
      </c>
      <c r="R313">
        <f t="shared" si="63"/>
        <v>-1.4467920544988133E-2</v>
      </c>
      <c r="S313" s="3">
        <f t="shared" si="69"/>
        <v>-3.5615042129684776E-2</v>
      </c>
      <c r="T313" s="3">
        <f t="shared" si="60"/>
        <v>-2.0633708234430656E-3</v>
      </c>
      <c r="V313" t="str">
        <f t="shared" si="61"/>
        <v>-1-1-1</v>
      </c>
    </row>
    <row r="314" spans="1:22">
      <c r="A314" s="1">
        <v>45748</v>
      </c>
      <c r="B314" t="s">
        <v>7</v>
      </c>
      <c r="C314">
        <v>557.45001219999995</v>
      </c>
      <c r="D314">
        <v>562.94000240000003</v>
      </c>
      <c r="E314">
        <v>553.67999269999996</v>
      </c>
      <c r="F314">
        <v>560.96997069999998</v>
      </c>
      <c r="G314">
        <v>54609600</v>
      </c>
      <c r="H314">
        <f t="shared" si="64"/>
        <v>565.2360107400001</v>
      </c>
      <c r="I314">
        <f t="shared" si="70"/>
        <v>566.15900268999985</v>
      </c>
      <c r="J314" s="4">
        <f t="shared" si="57"/>
        <v>587.75693634677407</v>
      </c>
      <c r="K314">
        <f t="shared" si="62"/>
        <v>-5.5850994980151756E-3</v>
      </c>
      <c r="L314">
        <f t="shared" si="65"/>
        <v>-1.5142297301039365E-3</v>
      </c>
      <c r="M314" s="3">
        <f t="shared" si="58"/>
        <v>-8.1687003547588561E-4</v>
      </c>
      <c r="N314" t="str">
        <f t="shared" ca="1" si="59"/>
        <v>wait</v>
      </c>
      <c r="O314">
        <f t="shared" si="66"/>
        <v>-1.3774774416454472E-2</v>
      </c>
      <c r="P314">
        <f t="shared" si="67"/>
        <v>-1.0342575541757548E-2</v>
      </c>
      <c r="Q314">
        <f t="shared" si="68"/>
        <v>-3.2492649603049095E-2</v>
      </c>
      <c r="R314">
        <f t="shared" si="63"/>
        <v>-9.4292857730114976E-3</v>
      </c>
      <c r="S314" s="3">
        <f t="shared" si="69"/>
        <v>-3.6746369666034069E-2</v>
      </c>
      <c r="T314" s="3">
        <f t="shared" si="60"/>
        <v>-1.1313275363492928E-3</v>
      </c>
      <c r="V314" t="str">
        <f t="shared" si="61"/>
        <v>-1-1-1</v>
      </c>
    </row>
    <row r="315" spans="1:22">
      <c r="A315" s="1">
        <v>45749</v>
      </c>
      <c r="B315" t="s">
        <v>7</v>
      </c>
      <c r="C315">
        <v>555.04998780000005</v>
      </c>
      <c r="D315">
        <v>567.41998290000004</v>
      </c>
      <c r="E315">
        <v>554.80999759999997</v>
      </c>
      <c r="F315">
        <v>564.52001949999999</v>
      </c>
      <c r="G315">
        <v>76014500</v>
      </c>
      <c r="H315">
        <f t="shared" si="64"/>
        <v>562.33800048000001</v>
      </c>
      <c r="I315">
        <f t="shared" si="70"/>
        <v>565.36450195499992</v>
      </c>
      <c r="J315" s="4">
        <f t="shared" si="57"/>
        <v>587.31742021774187</v>
      </c>
      <c r="K315">
        <f t="shared" si="62"/>
        <v>-2.6803341034823281E-3</v>
      </c>
      <c r="L315">
        <f t="shared" si="65"/>
        <v>-1.8943185084663058E-3</v>
      </c>
      <c r="M315" s="3">
        <f t="shared" si="58"/>
        <v>-7.140676377333752E-4</v>
      </c>
      <c r="N315" t="str">
        <f t="shared" ca="1" si="59"/>
        <v>wait</v>
      </c>
      <c r="O315">
        <f t="shared" si="66"/>
        <v>-1.2960199513066928E-2</v>
      </c>
      <c r="P315">
        <f t="shared" si="67"/>
        <v>-2.4327535731754057E-3</v>
      </c>
      <c r="Q315">
        <f t="shared" si="68"/>
        <v>-1.5396447994995399E-2</v>
      </c>
      <c r="R315">
        <f t="shared" si="63"/>
        <v>1.7096201608053696E-2</v>
      </c>
      <c r="S315" s="3">
        <f t="shared" si="69"/>
        <v>-3.7378285586358272E-2</v>
      </c>
      <c r="T315" s="3">
        <f t="shared" si="60"/>
        <v>-6.3191592032420252E-4</v>
      </c>
      <c r="V315" t="str">
        <f t="shared" si="61"/>
        <v>-1-1-1</v>
      </c>
    </row>
    <row r="316" spans="1:22">
      <c r="A316" s="1">
        <v>45750</v>
      </c>
      <c r="B316" t="s">
        <v>7</v>
      </c>
      <c r="C316">
        <v>545.10998540000003</v>
      </c>
      <c r="D316">
        <v>547.96997069999998</v>
      </c>
      <c r="E316">
        <v>536.70001219999995</v>
      </c>
      <c r="F316">
        <v>536.70001219999995</v>
      </c>
      <c r="G316">
        <v>125986000</v>
      </c>
      <c r="H316">
        <f t="shared" si="64"/>
        <v>561.523999</v>
      </c>
      <c r="I316">
        <f t="shared" si="70"/>
        <v>564.43750304999992</v>
      </c>
      <c r="J316" s="4">
        <f t="shared" si="57"/>
        <v>586.96967832096766</v>
      </c>
      <c r="K316">
        <f t="shared" si="62"/>
        <v>-9.0286997347978836E-4</v>
      </c>
      <c r="L316">
        <f t="shared" si="65"/>
        <v>-7.150217549362172E-4</v>
      </c>
      <c r="M316" s="3">
        <f t="shared" si="58"/>
        <v>-5.7357218680301127E-4</v>
      </c>
      <c r="N316" t="str">
        <f t="shared" ca="1" si="59"/>
        <v>wait</v>
      </c>
      <c r="O316">
        <f t="shared" si="66"/>
        <v>-2.9231188033336353E-2</v>
      </c>
      <c r="P316">
        <f t="shared" si="67"/>
        <v>5.335516389923578E-3</v>
      </c>
      <c r="Q316">
        <f t="shared" si="68"/>
        <v>-1.1956748797837258E-2</v>
      </c>
      <c r="R316">
        <f t="shared" si="63"/>
        <v>3.4396991971581414E-3</v>
      </c>
      <c r="S316" s="3">
        <f t="shared" si="69"/>
        <v>-3.8387290013721397E-2</v>
      </c>
      <c r="T316" s="3">
        <f t="shared" si="60"/>
        <v>-1.0090044273631249E-3</v>
      </c>
      <c r="V316" t="str">
        <f t="shared" si="61"/>
        <v>-1-1-1</v>
      </c>
    </row>
    <row r="317" spans="1:22">
      <c r="A317" s="1">
        <v>45751</v>
      </c>
      <c r="B317" t="s">
        <v>7</v>
      </c>
      <c r="C317">
        <v>523.66998290000004</v>
      </c>
      <c r="D317">
        <v>525.86999509999998</v>
      </c>
      <c r="E317">
        <v>505.05999759999997</v>
      </c>
      <c r="F317">
        <v>505.27999879999999</v>
      </c>
      <c r="G317">
        <v>217965100</v>
      </c>
      <c r="H317">
        <f t="shared" si="64"/>
        <v>555.44799802</v>
      </c>
      <c r="I317">
        <f t="shared" si="70"/>
        <v>562.63700255999993</v>
      </c>
      <c r="J317" s="4">
        <f t="shared" si="57"/>
        <v>586.1964524758065</v>
      </c>
      <c r="K317">
        <f t="shared" si="62"/>
        <v>-6.8243032854151276E-3</v>
      </c>
      <c r="L317">
        <f t="shared" si="65"/>
        <v>-3.4049843610661846E-3</v>
      </c>
      <c r="M317" s="3">
        <f t="shared" si="58"/>
        <v>-1.5555930642032233E-3</v>
      </c>
      <c r="N317" t="str">
        <f t="shared" ca="1" si="59"/>
        <v>buy</v>
      </c>
      <c r="O317">
        <f t="shared" si="66"/>
        <v>-5.7211503566992339E-2</v>
      </c>
      <c r="P317">
        <f t="shared" si="67"/>
        <v>-3.3752909159508793E-2</v>
      </c>
      <c r="Q317">
        <f t="shared" si="68"/>
        <v>-3.3752909159508793E-2</v>
      </c>
      <c r="R317">
        <f t="shared" si="63"/>
        <v>-2.1796160361671535E-2</v>
      </c>
      <c r="S317" s="3">
        <f t="shared" si="69"/>
        <v>-4.0190365902596302E-2</v>
      </c>
      <c r="T317" s="3">
        <f t="shared" si="60"/>
        <v>-1.8030758888749054E-3</v>
      </c>
      <c r="V317" t="str">
        <f t="shared" si="61"/>
        <v>-1-1-1</v>
      </c>
    </row>
    <row r="318" spans="1:22">
      <c r="A318" s="1">
        <v>45754</v>
      </c>
      <c r="B318" t="s">
        <v>7</v>
      </c>
      <c r="C318">
        <v>489.19000240000003</v>
      </c>
      <c r="D318">
        <v>523.16998290000004</v>
      </c>
      <c r="E318">
        <v>481.7999878</v>
      </c>
      <c r="F318">
        <v>504.38000490000002</v>
      </c>
      <c r="G318">
        <v>256611400</v>
      </c>
      <c r="H318">
        <f t="shared" si="64"/>
        <v>545.37200316000008</v>
      </c>
      <c r="I318">
        <f t="shared" si="70"/>
        <v>559.10500335500001</v>
      </c>
      <c r="J318" s="4">
        <f t="shared" si="57"/>
        <v>584.79854903387093</v>
      </c>
      <c r="K318">
        <f t="shared" si="62"/>
        <v>-1.9346078545464256E-2</v>
      </c>
      <c r="L318">
        <f t="shared" si="65"/>
        <v>-4.9323929334904558E-3</v>
      </c>
      <c r="M318" s="3">
        <f t="shared" si="58"/>
        <v>-2.5217232377337407E-3</v>
      </c>
      <c r="N318" t="str">
        <f t="shared" ca="1" si="59"/>
        <v>buy</v>
      </c>
      <c r="O318">
        <f t="shared" si="66"/>
        <v>-0.10301592387300729</v>
      </c>
      <c r="P318">
        <f t="shared" si="67"/>
        <v>-7.351313255484071E-2</v>
      </c>
      <c r="Q318">
        <f t="shared" si="68"/>
        <v>-7.3916529133185915E-2</v>
      </c>
      <c r="R318">
        <f t="shared" si="63"/>
        <v>-4.0163619973677123E-2</v>
      </c>
      <c r="S318" s="3">
        <f t="shared" si="69"/>
        <v>-4.3935720636308857E-2</v>
      </c>
      <c r="T318" s="3">
        <f t="shared" si="60"/>
        <v>-3.7453547337125553E-3</v>
      </c>
      <c r="V318" t="str">
        <f t="shared" si="61"/>
        <v>-1-1-1</v>
      </c>
    </row>
    <row r="319" spans="1:22">
      <c r="A319" s="1">
        <v>45755</v>
      </c>
      <c r="B319" t="s">
        <v>7</v>
      </c>
      <c r="C319">
        <v>521.85998540000003</v>
      </c>
      <c r="D319">
        <v>524.97998050000001</v>
      </c>
      <c r="E319">
        <v>489.1600037</v>
      </c>
      <c r="F319">
        <v>496.48001099999999</v>
      </c>
      <c r="G319">
        <v>165816600</v>
      </c>
      <c r="H319">
        <f t="shared" si="64"/>
        <v>534.37000121999995</v>
      </c>
      <c r="I319">
        <f t="shared" si="70"/>
        <v>556.29500274499992</v>
      </c>
      <c r="J319" s="4">
        <f t="shared" ref="J319:J382" si="71">AVERAGE(F257:F318)</f>
        <v>583.33112999354842</v>
      </c>
      <c r="K319">
        <f t="shared" si="62"/>
        <v>-2.017575583569467E-2</v>
      </c>
      <c r="L319">
        <f t="shared" si="65"/>
        <v>-4.6355572371348927E-3</v>
      </c>
      <c r="M319" s="3">
        <f t="shared" si="58"/>
        <v>-2.3854826546010257E-3</v>
      </c>
      <c r="N319" t="str">
        <f t="shared" ca="1" si="59"/>
        <v>buy</v>
      </c>
      <c r="O319">
        <f t="shared" si="66"/>
        <v>-2.3410774915206267E-2</v>
      </c>
      <c r="P319">
        <f t="shared" si="67"/>
        <v>-5.6122155531805551E-2</v>
      </c>
      <c r="Q319">
        <f t="shared" si="68"/>
        <v>-9.8377553567714049E-2</v>
      </c>
      <c r="R319">
        <f t="shared" si="63"/>
        <v>-2.4461024434528134E-2</v>
      </c>
      <c r="S319" s="3">
        <f t="shared" si="69"/>
        <v>-4.6347821774653984E-2</v>
      </c>
      <c r="T319" s="3">
        <f t="shared" si="60"/>
        <v>-2.4121011383451268E-3</v>
      </c>
      <c r="V319" t="str">
        <f t="shared" si="61"/>
        <v>-1-1-1</v>
      </c>
    </row>
    <row r="320" spans="1:22">
      <c r="A320" s="1">
        <v>45756</v>
      </c>
      <c r="B320" t="s">
        <v>7</v>
      </c>
      <c r="C320">
        <v>493.44000240000003</v>
      </c>
      <c r="D320">
        <v>548.61999509999998</v>
      </c>
      <c r="E320">
        <v>493.0499878</v>
      </c>
      <c r="F320">
        <v>548.61999509999998</v>
      </c>
      <c r="G320">
        <v>241867300</v>
      </c>
      <c r="H320">
        <f t="shared" si="64"/>
        <v>521.47200928000007</v>
      </c>
      <c r="I320">
        <f t="shared" si="70"/>
        <v>553.32300414999997</v>
      </c>
      <c r="J320" s="4">
        <f t="shared" si="71"/>
        <v>581.84483976935462</v>
      </c>
      <c r="K320">
        <f t="shared" si="62"/>
        <v>-2.4105436884333559E-2</v>
      </c>
      <c r="L320">
        <f t="shared" si="65"/>
        <v>-5.5817976136683092E-3</v>
      </c>
      <c r="M320" s="3">
        <f t="shared" si="58"/>
        <v>-2.629673693821442E-3</v>
      </c>
      <c r="N320" t="str">
        <f t="shared" ca="1" si="59"/>
        <v>buy</v>
      </c>
      <c r="O320">
        <f t="shared" si="66"/>
        <v>-5.3755535064487936E-2</v>
      </c>
      <c r="P320">
        <f t="shared" si="67"/>
        <v>-4.7925867228246211E-2</v>
      </c>
      <c r="Q320">
        <f t="shared" si="68"/>
        <v>-6.1963068017041767E-2</v>
      </c>
      <c r="R320">
        <f t="shared" si="63"/>
        <v>3.6414485550672282E-2</v>
      </c>
      <c r="S320" s="3">
        <f t="shared" si="69"/>
        <v>-4.9019658970698793E-2</v>
      </c>
      <c r="T320" s="3">
        <f t="shared" si="60"/>
        <v>-2.6718371960448087E-3</v>
      </c>
      <c r="V320" t="str">
        <f t="shared" si="61"/>
        <v>-1-1-1</v>
      </c>
    </row>
    <row r="321" spans="1:22">
      <c r="A321" s="1">
        <v>45757</v>
      </c>
      <c r="B321" t="s">
        <v>7</v>
      </c>
      <c r="C321">
        <v>532.16998290000004</v>
      </c>
      <c r="D321">
        <v>533.5</v>
      </c>
      <c r="E321">
        <v>509.32000729999999</v>
      </c>
      <c r="F321">
        <v>524.58001709999996</v>
      </c>
      <c r="G321">
        <v>162331200</v>
      </c>
      <c r="H321">
        <f t="shared" si="64"/>
        <v>518.2920044</v>
      </c>
      <c r="I321">
        <f t="shared" si="70"/>
        <v>552.81050415000004</v>
      </c>
      <c r="J321" s="4">
        <f t="shared" si="71"/>
        <v>581.18564630000003</v>
      </c>
      <c r="K321">
        <f t="shared" si="62"/>
        <v>4.4419536534529031E-3</v>
      </c>
      <c r="L321">
        <f t="shared" si="65"/>
        <v>-2.5388885847720818E-4</v>
      </c>
      <c r="M321" s="3">
        <f t="shared" ref="M321:M384" si="72">(F320-F259)/F259/60</f>
        <v>-9.1503142856432971E-4</v>
      </c>
      <c r="N321" t="str">
        <f t="shared" ref="N321:N384" ca="1" si="73">IF(AND((F320-H321) / H321&lt;= -0.0155, G320/ AVERAGE(OFFSET(G320,-19,0,20,1)) &gt;= 1.58), "buy", "wait")</f>
        <v>wait</v>
      </c>
      <c r="O321">
        <f t="shared" si="66"/>
        <v>2.677637004272504E-2</v>
      </c>
      <c r="P321">
        <f t="shared" si="67"/>
        <v>5.851525866216889E-2</v>
      </c>
      <c r="Q321">
        <f t="shared" si="68"/>
        <v>-4.8702307551939494E-2</v>
      </c>
      <c r="R321">
        <f t="shared" si="63"/>
        <v>1.3260760465102273E-2</v>
      </c>
      <c r="S321" s="3">
        <f t="shared" si="69"/>
        <v>-4.8822854333455318E-2</v>
      </c>
      <c r="T321" s="3">
        <f t="shared" si="60"/>
        <v>1.9680463724347508E-4</v>
      </c>
      <c r="V321" t="str">
        <f t="shared" si="61"/>
        <v>-1-11</v>
      </c>
    </row>
    <row r="322" spans="1:22">
      <c r="A322" s="1">
        <v>45758</v>
      </c>
      <c r="B322" t="s">
        <v>7</v>
      </c>
      <c r="C322">
        <v>523.01000980000003</v>
      </c>
      <c r="D322">
        <v>536.42999269999996</v>
      </c>
      <c r="E322">
        <v>520.07000730000004</v>
      </c>
      <c r="F322">
        <v>533.94000240000003</v>
      </c>
      <c r="G322">
        <v>97866300</v>
      </c>
      <c r="H322">
        <f t="shared" si="64"/>
        <v>515.86800538</v>
      </c>
      <c r="I322">
        <f t="shared" si="70"/>
        <v>551.46850585999994</v>
      </c>
      <c r="J322" s="4">
        <f t="shared" si="71"/>
        <v>580.2838725403227</v>
      </c>
      <c r="K322">
        <f t="shared" si="62"/>
        <v>7.6393359506950571E-3</v>
      </c>
      <c r="L322">
        <f t="shared" si="65"/>
        <v>-3.3963487378533387E-3</v>
      </c>
      <c r="M322" s="3">
        <f t="shared" si="72"/>
        <v>-1.6285682035975353E-3</v>
      </c>
      <c r="N322" t="str">
        <f t="shared" ca="1" si="73"/>
        <v>wait</v>
      </c>
      <c r="O322">
        <f t="shared" si="66"/>
        <v>1.3844635343762235E-2</v>
      </c>
      <c r="P322">
        <f t="shared" si="67"/>
        <v>1.6888063669664E-2</v>
      </c>
      <c r="Q322">
        <f t="shared" si="68"/>
        <v>-1.2693165716250676E-2</v>
      </c>
      <c r="R322">
        <f t="shared" si="63"/>
        <v>3.6009141835688818E-2</v>
      </c>
      <c r="S322" s="3">
        <f t="shared" si="69"/>
        <v>-4.9657362618363045E-2</v>
      </c>
      <c r="T322" s="3">
        <f t="shared" ref="T322:T385" si="74">S322-S321</f>
        <v>-8.3450828490772705E-4</v>
      </c>
      <c r="V322" t="str">
        <f t="shared" ref="V322:V385" si="75">SIGN(M322)&amp;SIGN(S322)&amp;SIGN(T322)</f>
        <v>-1-1-1</v>
      </c>
    </row>
    <row r="323" spans="1:22">
      <c r="A323" s="1">
        <v>45761</v>
      </c>
      <c r="B323" t="s">
        <v>7</v>
      </c>
      <c r="C323">
        <v>544.04998780000005</v>
      </c>
      <c r="D323">
        <v>544.28002930000002</v>
      </c>
      <c r="E323">
        <v>533.85998540000003</v>
      </c>
      <c r="F323">
        <v>539.11999509999998</v>
      </c>
      <c r="G323">
        <v>68034000</v>
      </c>
      <c r="H323">
        <f t="shared" si="64"/>
        <v>521.60000610000009</v>
      </c>
      <c r="I323">
        <f t="shared" si="70"/>
        <v>550.02500609999993</v>
      </c>
      <c r="J323" s="4">
        <f t="shared" si="71"/>
        <v>579.51854976290326</v>
      </c>
      <c r="K323">
        <f t="shared" si="62"/>
        <v>1.1721320120872226E-2</v>
      </c>
      <c r="L323">
        <f t="shared" si="65"/>
        <v>-2.9277986926945446E-3</v>
      </c>
      <c r="M323" s="3">
        <f t="shared" si="72"/>
        <v>-1.3812787291976806E-3</v>
      </c>
      <c r="N323" t="str">
        <f t="shared" ca="1" si="73"/>
        <v>wait</v>
      </c>
      <c r="O323">
        <f t="shared" si="66"/>
        <v>4.3040608584072659E-2</v>
      </c>
      <c r="P323">
        <f t="shared" si="67"/>
        <v>2.3657968089889403E-2</v>
      </c>
      <c r="Q323">
        <f t="shared" si="68"/>
        <v>-2.9332798736714238E-3</v>
      </c>
      <c r="R323">
        <f t="shared" si="63"/>
        <v>9.7598858425792523E-3</v>
      </c>
      <c r="S323" s="3">
        <f t="shared" si="69"/>
        <v>-5.0893183099954165E-2</v>
      </c>
      <c r="T323" s="3">
        <f t="shared" si="74"/>
        <v>-1.2358204815911197E-3</v>
      </c>
      <c r="V323" t="str">
        <f t="shared" si="75"/>
        <v>-1-1-1</v>
      </c>
    </row>
    <row r="324" spans="1:22">
      <c r="A324" s="1">
        <v>45762</v>
      </c>
      <c r="B324" t="s">
        <v>7</v>
      </c>
      <c r="C324">
        <v>539.66998290000004</v>
      </c>
      <c r="D324">
        <v>543.22998050000001</v>
      </c>
      <c r="E324">
        <v>536.80999759999997</v>
      </c>
      <c r="F324">
        <v>537.60998540000003</v>
      </c>
      <c r="G324">
        <v>56892900</v>
      </c>
      <c r="H324">
        <f t="shared" si="64"/>
        <v>528.54800413999999</v>
      </c>
      <c r="I324">
        <f t="shared" si="70"/>
        <v>548.6235046349999</v>
      </c>
      <c r="J324" s="4">
        <f t="shared" si="71"/>
        <v>578.82387222580655</v>
      </c>
      <c r="K324">
        <f t="shared" si="62"/>
        <v>1.7176918770250345E-2</v>
      </c>
      <c r="L324">
        <f t="shared" si="65"/>
        <v>-1.9518041815618317E-3</v>
      </c>
      <c r="M324" s="3">
        <f t="shared" si="72"/>
        <v>-1.5087112573435239E-3</v>
      </c>
      <c r="N324" t="str">
        <f t="shared" ca="1" si="73"/>
        <v>wait</v>
      </c>
      <c r="O324">
        <f t="shared" si="66"/>
        <v>2.1042513968237531E-2</v>
      </c>
      <c r="P324">
        <f t="shared" si="67"/>
        <v>2.0001950394650914E-2</v>
      </c>
      <c r="Q324">
        <f t="shared" si="68"/>
        <v>1.0050139662608704E-2</v>
      </c>
      <c r="R324">
        <f t="shared" si="63"/>
        <v>1.2983419536280127E-2</v>
      </c>
      <c r="S324" s="3">
        <f t="shared" si="69"/>
        <v>-5.2175400911980876E-2</v>
      </c>
      <c r="T324" s="3">
        <f t="shared" si="74"/>
        <v>-1.2822178120267119E-3</v>
      </c>
      <c r="V324" t="str">
        <f t="shared" si="75"/>
        <v>-1-1-1</v>
      </c>
    </row>
    <row r="325" spans="1:22">
      <c r="A325" s="1">
        <v>45763</v>
      </c>
      <c r="B325" t="s">
        <v>7</v>
      </c>
      <c r="C325">
        <v>531.67999269999996</v>
      </c>
      <c r="D325">
        <v>537.89001459999997</v>
      </c>
      <c r="E325">
        <v>520.28997800000002</v>
      </c>
      <c r="F325">
        <v>525.6599731</v>
      </c>
      <c r="G325">
        <v>83484800</v>
      </c>
      <c r="H325">
        <f t="shared" si="64"/>
        <v>536.77399902000002</v>
      </c>
      <c r="I325">
        <f t="shared" si="70"/>
        <v>547.45300292999991</v>
      </c>
      <c r="J325" s="4">
        <f t="shared" si="71"/>
        <v>577.93403280806456</v>
      </c>
      <c r="K325">
        <f t="shared" si="62"/>
        <v>-4.0137106916757924E-3</v>
      </c>
      <c r="L325">
        <f t="shared" si="65"/>
        <v>-2.6025795888903061E-3</v>
      </c>
      <c r="M325" s="3">
        <f t="shared" si="72"/>
        <v>-1.5220412150038266E-3</v>
      </c>
      <c r="N325" t="str">
        <f t="shared" ca="1" si="73"/>
        <v>wait</v>
      </c>
      <c r="O325">
        <f t="shared" si="66"/>
        <v>-9.4900392517154319E-3</v>
      </c>
      <c r="P325">
        <f t="shared" si="67"/>
        <v>1.5574271136946649E-3</v>
      </c>
      <c r="Q325">
        <f t="shared" si="68"/>
        <v>6.7064686563922393E-5</v>
      </c>
      <c r="R325">
        <f t="shared" si="63"/>
        <v>-9.9830749760447812E-3</v>
      </c>
      <c r="S325" s="3">
        <f t="shared" si="69"/>
        <v>-5.2741365186548171E-2</v>
      </c>
      <c r="T325" s="3">
        <f t="shared" si="74"/>
        <v>-5.6596427456729465E-4</v>
      </c>
      <c r="V325" t="str">
        <f t="shared" si="75"/>
        <v>-1-1-1</v>
      </c>
    </row>
    <row r="326" spans="1:22">
      <c r="A326" s="1">
        <v>45764</v>
      </c>
      <c r="B326" t="s">
        <v>7</v>
      </c>
      <c r="C326">
        <v>527.64001459999997</v>
      </c>
      <c r="D326">
        <v>531.16998290000004</v>
      </c>
      <c r="E326">
        <v>523.9099731</v>
      </c>
      <c r="F326">
        <v>526.4099731</v>
      </c>
      <c r="G326">
        <v>79868100</v>
      </c>
      <c r="H326">
        <f t="shared" si="64"/>
        <v>532.18199462000007</v>
      </c>
      <c r="I326">
        <f t="shared" si="70"/>
        <v>545.37950134000005</v>
      </c>
      <c r="J326" s="4">
        <f t="shared" si="71"/>
        <v>576.86983859032262</v>
      </c>
      <c r="K326">
        <f t="shared" si="62"/>
        <v>4.1174118906407665E-4</v>
      </c>
      <c r="L326">
        <f t="shared" si="65"/>
        <v>-3.5217260950908312E-3</v>
      </c>
      <c r="M326" s="3">
        <f t="shared" si="72"/>
        <v>-2.0058692822712185E-3</v>
      </c>
      <c r="N326" t="str">
        <f t="shared" ca="1" si="73"/>
        <v>wait</v>
      </c>
      <c r="O326">
        <f t="shared" si="66"/>
        <v>-8.5346367707220816E-3</v>
      </c>
      <c r="P326">
        <f t="shared" si="67"/>
        <v>-1.2255246486978733E-2</v>
      </c>
      <c r="Q326">
        <f t="shared" si="68"/>
        <v>-2.2345770319590508E-2</v>
      </c>
      <c r="R326">
        <f t="shared" si="63"/>
        <v>-2.241283500615443E-2</v>
      </c>
      <c r="S326" s="3">
        <f t="shared" si="69"/>
        <v>-5.4588288628981615E-2</v>
      </c>
      <c r="T326" s="3">
        <f t="shared" si="74"/>
        <v>-1.8469234424334444E-3</v>
      </c>
      <c r="V326" t="str">
        <f t="shared" si="75"/>
        <v>-1-1-1</v>
      </c>
    </row>
    <row r="327" spans="1:22">
      <c r="A327" s="1">
        <v>45768</v>
      </c>
      <c r="B327" t="s">
        <v>7</v>
      </c>
      <c r="C327">
        <v>521.1599731</v>
      </c>
      <c r="D327">
        <v>521.70001219999995</v>
      </c>
      <c r="E327">
        <v>508.4599915</v>
      </c>
      <c r="F327">
        <v>513.88000490000002</v>
      </c>
      <c r="G327">
        <v>69368100</v>
      </c>
      <c r="H327">
        <f t="shared" si="64"/>
        <v>532.54798582000001</v>
      </c>
      <c r="I327">
        <f t="shared" si="70"/>
        <v>543.42550048500004</v>
      </c>
      <c r="J327" s="4">
        <f t="shared" si="71"/>
        <v>575.72193465483872</v>
      </c>
      <c r="K327">
        <f t="shared" si="62"/>
        <v>-2.8205525962293112E-3</v>
      </c>
      <c r="L327">
        <f t="shared" si="65"/>
        <v>-3.3307926432683023E-3</v>
      </c>
      <c r="M327" s="3">
        <f t="shared" si="72"/>
        <v>-2.1181222190107376E-3</v>
      </c>
      <c r="N327" t="str">
        <f t="shared" ca="1" si="73"/>
        <v>wait</v>
      </c>
      <c r="O327">
        <f t="shared" si="66"/>
        <v>-2.1384012376772232E-2</v>
      </c>
      <c r="P327">
        <f t="shared" si="67"/>
        <v>-1.1525745817156596E-2</v>
      </c>
      <c r="Q327">
        <f t="shared" si="68"/>
        <v>-1.6220158464592571E-2</v>
      </c>
      <c r="R327">
        <f t="shared" si="63"/>
        <v>6.1256118549979366E-3</v>
      </c>
      <c r="S327" s="3">
        <f t="shared" si="69"/>
        <v>-5.6097279304116295E-2</v>
      </c>
      <c r="T327" s="3">
        <f t="shared" si="74"/>
        <v>-1.508990675134679E-3</v>
      </c>
      <c r="V327" t="str">
        <f t="shared" si="75"/>
        <v>-1-1-1</v>
      </c>
    </row>
    <row r="328" spans="1:22">
      <c r="A328" s="1">
        <v>45769</v>
      </c>
      <c r="B328" t="s">
        <v>7</v>
      </c>
      <c r="C328">
        <v>520.14001459999997</v>
      </c>
      <c r="D328">
        <v>529.29998780000005</v>
      </c>
      <c r="E328">
        <v>519.19000240000003</v>
      </c>
      <c r="F328">
        <v>527.25</v>
      </c>
      <c r="G328">
        <v>75948100</v>
      </c>
      <c r="H328">
        <f t="shared" si="64"/>
        <v>528.53598632000001</v>
      </c>
      <c r="I328">
        <f t="shared" si="70"/>
        <v>540.92050170500011</v>
      </c>
      <c r="J328" s="4">
        <f t="shared" si="71"/>
        <v>574.28370912419359</v>
      </c>
      <c r="K328">
        <f t="shared" ref="K328:K391" si="76">(F327-F323)/F323/5</f>
        <v>-9.3634034832331767E-3</v>
      </c>
      <c r="L328">
        <f t="shared" si="65"/>
        <v>-5.2431725897814693E-3</v>
      </c>
      <c r="M328" s="3">
        <f t="shared" si="72"/>
        <v>-2.5438074976829729E-3</v>
      </c>
      <c r="N328" t="str">
        <f t="shared" ca="1" si="73"/>
        <v>wait</v>
      </c>
      <c r="O328">
        <f t="shared" si="66"/>
        <v>-1.5885335979595405E-2</v>
      </c>
      <c r="P328">
        <f t="shared" si="67"/>
        <v>-2.7729391752573274E-2</v>
      </c>
      <c r="Q328">
        <f t="shared" si="68"/>
        <v>-3.7984158769929222E-2</v>
      </c>
      <c r="R328">
        <f t="shared" si="63"/>
        <v>-2.176400030533665E-2</v>
      </c>
      <c r="S328" s="3">
        <f t="shared" si="69"/>
        <v>-5.8095340141327979E-2</v>
      </c>
      <c r="T328" s="3">
        <f t="shared" si="74"/>
        <v>-1.9980608372116848E-3</v>
      </c>
      <c r="V328" t="str">
        <f t="shared" si="75"/>
        <v>-1-1-1</v>
      </c>
    </row>
    <row r="329" spans="1:22">
      <c r="A329" s="1">
        <v>45770</v>
      </c>
      <c r="B329" t="s">
        <v>7</v>
      </c>
      <c r="C329">
        <v>540.42999269999996</v>
      </c>
      <c r="D329">
        <v>545.42999269999996</v>
      </c>
      <c r="E329">
        <v>533.88000490000002</v>
      </c>
      <c r="F329">
        <v>535.41998290000004</v>
      </c>
      <c r="G329">
        <v>90590700</v>
      </c>
      <c r="H329">
        <f t="shared" si="64"/>
        <v>526.16198730000008</v>
      </c>
      <c r="I329">
        <f t="shared" si="70"/>
        <v>538.57900085000006</v>
      </c>
      <c r="J329" s="4">
        <f t="shared" si="71"/>
        <v>573.00645102096769</v>
      </c>
      <c r="K329">
        <f t="shared" si="76"/>
        <v>-3.8540896491317395E-3</v>
      </c>
      <c r="L329">
        <f t="shared" si="65"/>
        <v>-4.1888246061339753E-3</v>
      </c>
      <c r="M329" s="3">
        <f t="shared" si="72"/>
        <v>-2.2550225502255021E-3</v>
      </c>
      <c r="N329" t="str">
        <f t="shared" ca="1" si="73"/>
        <v>wait</v>
      </c>
      <c r="O329">
        <f t="shared" si="66"/>
        <v>2.7117134541049026E-2</v>
      </c>
      <c r="P329">
        <f t="shared" si="67"/>
        <v>2.0678283993549318E-3</v>
      </c>
      <c r="Q329">
        <f t="shared" si="68"/>
        <v>-1.3250643467759393E-2</v>
      </c>
      <c r="R329">
        <f t="shared" ref="R329:R392" si="77">Q329-Q328</f>
        <v>2.4733515302169828E-2</v>
      </c>
      <c r="S329" s="3">
        <f t="shared" si="69"/>
        <v>-6.008213364723157E-2</v>
      </c>
      <c r="T329" s="3">
        <f t="shared" si="74"/>
        <v>-1.9867935059035904E-3</v>
      </c>
      <c r="V329" t="str">
        <f t="shared" si="75"/>
        <v>-1-1-1</v>
      </c>
    </row>
    <row r="330" spans="1:22">
      <c r="A330" s="1">
        <v>45771</v>
      </c>
      <c r="B330" t="s">
        <v>7</v>
      </c>
      <c r="C330">
        <v>536.71997069999998</v>
      </c>
      <c r="D330">
        <v>547.42999269999996</v>
      </c>
      <c r="E330">
        <v>535.45001219999995</v>
      </c>
      <c r="F330">
        <v>546.69000240000003</v>
      </c>
      <c r="G330">
        <v>64150400</v>
      </c>
      <c r="H330">
        <f t="shared" si="64"/>
        <v>525.72398679999992</v>
      </c>
      <c r="I330">
        <f t="shared" si="70"/>
        <v>536.57699889500009</v>
      </c>
      <c r="J330" s="4">
        <f t="shared" si="71"/>
        <v>571.80757977741939</v>
      </c>
      <c r="K330">
        <f t="shared" si="76"/>
        <v>3.7134308486308576E-3</v>
      </c>
      <c r="L330">
        <f t="shared" si="65"/>
        <v>-2.9168682557488561E-3</v>
      </c>
      <c r="M330" s="3">
        <f t="shared" si="72"/>
        <v>-1.988858860810397E-3</v>
      </c>
      <c r="N330" t="str">
        <f t="shared" ca="1" si="73"/>
        <v>wait</v>
      </c>
      <c r="O330">
        <f t="shared" si="66"/>
        <v>2.0915887758766516E-2</v>
      </c>
      <c r="P330">
        <f t="shared" si="67"/>
        <v>1.8443130508497774E-2</v>
      </c>
      <c r="Q330">
        <f t="shared" si="68"/>
        <v>1.5513878584168195E-2</v>
      </c>
      <c r="R330">
        <f t="shared" si="77"/>
        <v>2.8764522051927588E-2</v>
      </c>
      <c r="S330" s="3">
        <f t="shared" si="69"/>
        <v>-6.1612651053232076E-2</v>
      </c>
      <c r="T330" s="3">
        <f t="shared" si="74"/>
        <v>-1.5305174060005061E-3</v>
      </c>
      <c r="V330" t="str">
        <f t="shared" si="75"/>
        <v>-1-1-1</v>
      </c>
    </row>
    <row r="331" spans="1:22">
      <c r="A331" s="1">
        <v>45772</v>
      </c>
      <c r="B331" t="s">
        <v>7</v>
      </c>
      <c r="C331">
        <v>546.65002440000001</v>
      </c>
      <c r="D331">
        <v>551.04998780000005</v>
      </c>
      <c r="E331">
        <v>543.69000240000003</v>
      </c>
      <c r="F331">
        <v>550.64001459999997</v>
      </c>
      <c r="G331">
        <v>61119600</v>
      </c>
      <c r="H331">
        <f t="shared" si="64"/>
        <v>529.92999266000004</v>
      </c>
      <c r="I331">
        <f t="shared" si="70"/>
        <v>535.48199767000006</v>
      </c>
      <c r="J331" s="4">
        <f t="shared" si="71"/>
        <v>570.81919319193537</v>
      </c>
      <c r="K331">
        <f t="shared" si="76"/>
        <v>7.7050323270176748E-3</v>
      </c>
      <c r="L331">
        <f t="shared" si="65"/>
        <v>-1.7978075478900471E-3</v>
      </c>
      <c r="M331" s="3">
        <f t="shared" si="72"/>
        <v>-1.4648712573388754E-3</v>
      </c>
      <c r="N331" t="str">
        <f t="shared" ca="1" si="73"/>
        <v>wait</v>
      </c>
      <c r="O331">
        <f t="shared" si="66"/>
        <v>3.1551397300751516E-2</v>
      </c>
      <c r="P331">
        <f t="shared" si="67"/>
        <v>3.1626837454269419E-2</v>
      </c>
      <c r="Q331">
        <f t="shared" si="68"/>
        <v>1.0416507116896678E-2</v>
      </c>
      <c r="R331">
        <f t="shared" si="77"/>
        <v>-5.0973714672715165E-3</v>
      </c>
      <c r="S331" s="3">
        <f t="shared" si="69"/>
        <v>-6.1906109576195245E-2</v>
      </c>
      <c r="T331" s="3">
        <f t="shared" si="74"/>
        <v>-2.9345852296316921E-4</v>
      </c>
      <c r="V331" t="str">
        <f t="shared" si="75"/>
        <v>-1-1-1</v>
      </c>
    </row>
    <row r="332" spans="1:22">
      <c r="A332" s="1">
        <v>45775</v>
      </c>
      <c r="B332" t="s">
        <v>7</v>
      </c>
      <c r="C332">
        <v>551.39001459999997</v>
      </c>
      <c r="D332">
        <v>553.54998780000005</v>
      </c>
      <c r="E332">
        <v>545.02001949999999</v>
      </c>
      <c r="F332">
        <v>550.84997559999999</v>
      </c>
      <c r="G332">
        <v>47613800</v>
      </c>
      <c r="H332">
        <f t="shared" si="64"/>
        <v>534.77600096000003</v>
      </c>
      <c r="I332">
        <f t="shared" si="70"/>
        <v>534.65999754500001</v>
      </c>
      <c r="J332" s="4">
        <f t="shared" si="71"/>
        <v>570.03322576451615</v>
      </c>
      <c r="K332">
        <f t="shared" si="76"/>
        <v>1.4306845703075518E-2</v>
      </c>
      <c r="L332">
        <f t="shared" si="65"/>
        <v>-4.5171136513522158E-4</v>
      </c>
      <c r="M332" s="3">
        <f t="shared" si="72"/>
        <v>-1.485476167372265E-3</v>
      </c>
      <c r="N332" t="str">
        <f t="shared" ca="1" si="73"/>
        <v>wait</v>
      </c>
      <c r="O332">
        <f t="shared" si="66"/>
        <v>3.1067238638561534E-2</v>
      </c>
      <c r="P332">
        <f t="shared" si="67"/>
        <v>2.9664782285520941E-2</v>
      </c>
      <c r="Q332">
        <f t="shared" si="68"/>
        <v>1.666866393405475E-2</v>
      </c>
      <c r="R332">
        <f t="shared" si="77"/>
        <v>6.2521568171580721E-3</v>
      </c>
      <c r="S332" s="3">
        <f t="shared" si="69"/>
        <v>-6.2054677904212222E-2</v>
      </c>
      <c r="T332" s="3">
        <f t="shared" si="74"/>
        <v>-1.4856832801697639E-4</v>
      </c>
      <c r="V332" t="str">
        <f t="shared" si="75"/>
        <v>-1-1-1</v>
      </c>
    </row>
    <row r="333" spans="1:22">
      <c r="A333" s="1">
        <v>45776</v>
      </c>
      <c r="B333" t="s">
        <v>7</v>
      </c>
      <c r="C333">
        <v>548.9099731</v>
      </c>
      <c r="D333">
        <v>555.45001219999995</v>
      </c>
      <c r="E333">
        <v>548.54998780000005</v>
      </c>
      <c r="F333">
        <v>554.32000730000004</v>
      </c>
      <c r="G333">
        <v>47775100</v>
      </c>
      <c r="H333">
        <f t="shared" si="64"/>
        <v>542.16999510000005</v>
      </c>
      <c r="I333">
        <f t="shared" si="70"/>
        <v>534.41949767000006</v>
      </c>
      <c r="J333" s="4">
        <f t="shared" si="71"/>
        <v>569.16757989516134</v>
      </c>
      <c r="K333">
        <f t="shared" si="76"/>
        <v>8.9521007491702199E-3</v>
      </c>
      <c r="L333">
        <f t="shared" si="65"/>
        <v>-7.6333495210016027E-4</v>
      </c>
      <c r="M333" s="3">
        <f t="shared" si="72"/>
        <v>-1.4112987544027463E-3</v>
      </c>
      <c r="N333" t="str">
        <f t="shared" ca="1" si="73"/>
        <v>wait</v>
      </c>
      <c r="O333">
        <f t="shared" si="66"/>
        <v>1.2431484702057016E-2</v>
      </c>
      <c r="P333">
        <f t="shared" si="67"/>
        <v>1.6009702820974026E-2</v>
      </c>
      <c r="Q333">
        <f t="shared" si="68"/>
        <v>5.2566988689115579E-3</v>
      </c>
      <c r="R333">
        <f t="shared" si="77"/>
        <v>-1.1411965065143193E-2</v>
      </c>
      <c r="S333" s="3">
        <f t="shared" si="69"/>
        <v>-6.105070536793708E-2</v>
      </c>
      <c r="T333" s="3">
        <f t="shared" si="74"/>
        <v>1.0039725362751412E-3</v>
      </c>
      <c r="V333" t="str">
        <f t="shared" si="75"/>
        <v>-1-11</v>
      </c>
    </row>
    <row r="334" spans="1:22">
      <c r="A334" s="1">
        <v>45777</v>
      </c>
      <c r="B334" t="s">
        <v>7</v>
      </c>
      <c r="C334">
        <v>547.57000730000004</v>
      </c>
      <c r="D334">
        <v>556.52001949999999</v>
      </c>
      <c r="E334">
        <v>541.52001949999999</v>
      </c>
      <c r="F334">
        <v>554.53997800000002</v>
      </c>
      <c r="G334">
        <v>93101500</v>
      </c>
      <c r="H334">
        <f t="shared" si="64"/>
        <v>547.58399656000006</v>
      </c>
      <c r="I334">
        <f t="shared" si="70"/>
        <v>534.16599730500002</v>
      </c>
      <c r="J334" s="4">
        <f t="shared" si="71"/>
        <v>568.40161230967738</v>
      </c>
      <c r="K334">
        <f t="shared" si="76"/>
        <v>7.0598875662546759E-3</v>
      </c>
      <c r="L334">
        <f t="shared" si="65"/>
        <v>-5.9272008728932966E-4</v>
      </c>
      <c r="M334" s="3">
        <f t="shared" si="72"/>
        <v>-1.3971520490171636E-3</v>
      </c>
      <c r="N334" t="str">
        <f t="shared" ca="1" si="73"/>
        <v>wait</v>
      </c>
      <c r="O334">
        <f t="shared" si="66"/>
        <v>-2.55472404012691E-5</v>
      </c>
      <c r="P334">
        <f t="shared" si="67"/>
        <v>1.2301328713615778E-2</v>
      </c>
      <c r="Q334">
        <f t="shared" si="68"/>
        <v>1.764096916762492E-3</v>
      </c>
      <c r="R334">
        <f t="shared" si="77"/>
        <v>-3.4926019521490659E-3</v>
      </c>
      <c r="S334" s="3">
        <f t="shared" si="69"/>
        <v>-6.0231382640809718E-2</v>
      </c>
      <c r="T334" s="3">
        <f t="shared" si="74"/>
        <v>8.1932272712736259E-4</v>
      </c>
      <c r="V334" t="str">
        <f t="shared" si="75"/>
        <v>-1-11</v>
      </c>
    </row>
    <row r="335" spans="1:22">
      <c r="A335" s="1">
        <v>45778</v>
      </c>
      <c r="B335" t="s">
        <v>7</v>
      </c>
      <c r="C335">
        <v>560.36999509999998</v>
      </c>
      <c r="D335">
        <v>564.07000730000004</v>
      </c>
      <c r="E335">
        <v>557.85998540000003</v>
      </c>
      <c r="F335">
        <v>558.46997069999998</v>
      </c>
      <c r="G335">
        <v>63186100</v>
      </c>
      <c r="H335">
        <f t="shared" si="64"/>
        <v>551.40799558000003</v>
      </c>
      <c r="I335">
        <f t="shared" si="70"/>
        <v>533.84449767000001</v>
      </c>
      <c r="J335" s="4">
        <f t="shared" si="71"/>
        <v>567.58709618064518</v>
      </c>
      <c r="K335">
        <f t="shared" si="76"/>
        <v>2.8718197024047111E-3</v>
      </c>
      <c r="L335">
        <f t="shared" si="65"/>
        <v>-8.8394044101743063E-4</v>
      </c>
      <c r="M335" s="3">
        <f t="shared" si="72"/>
        <v>-1.3093623986823106E-3</v>
      </c>
      <c r="N335" t="str">
        <f t="shared" ca="1" si="73"/>
        <v>wait</v>
      </c>
      <c r="O335">
        <f t="shared" si="66"/>
        <v>1.6252937193217853E-2</v>
      </c>
      <c r="P335">
        <f t="shared" si="67"/>
        <v>5.679972806171607E-3</v>
      </c>
      <c r="Q335">
        <f t="shared" si="68"/>
        <v>-1.7932231957571321E-2</v>
      </c>
      <c r="R335">
        <f t="shared" si="77"/>
        <v>-1.9696328874333813E-2</v>
      </c>
      <c r="S335" s="3">
        <f t="shared" si="69"/>
        <v>-5.9449199493263244E-2</v>
      </c>
      <c r="T335" s="3">
        <f t="shared" si="74"/>
        <v>7.8218314754647383E-4</v>
      </c>
      <c r="V335" t="str">
        <f t="shared" si="75"/>
        <v>-1-11</v>
      </c>
    </row>
    <row r="336" spans="1:22">
      <c r="A336" s="1">
        <v>45779</v>
      </c>
      <c r="B336" t="s">
        <v>7</v>
      </c>
      <c r="C336">
        <v>564.72998050000001</v>
      </c>
      <c r="D336">
        <v>568.38000490000002</v>
      </c>
      <c r="E336">
        <v>562.38000490000002</v>
      </c>
      <c r="F336">
        <v>566.76000980000003</v>
      </c>
      <c r="G336">
        <v>60717300</v>
      </c>
      <c r="H336">
        <f t="shared" ref="H336:H399" si="78">AVERAGE(F331:F335)</f>
        <v>553.76398924</v>
      </c>
      <c r="I336">
        <f t="shared" si="70"/>
        <v>533.54199523000011</v>
      </c>
      <c r="J336" s="4">
        <f t="shared" si="71"/>
        <v>566.88790204193549</v>
      </c>
      <c r="K336">
        <f t="shared" si="76"/>
        <v>2.8439473675693182E-3</v>
      </c>
      <c r="L336">
        <f t="shared" si="65"/>
        <v>2.0281309861315514E-3</v>
      </c>
      <c r="M336" s="3">
        <f t="shared" si="72"/>
        <v>-1.09574048876055E-3</v>
      </c>
      <c r="N336" t="str">
        <f t="shared" ca="1" si="73"/>
        <v>wait</v>
      </c>
      <c r="O336">
        <f t="shared" si="66"/>
        <v>1.9802644218613885E-2</v>
      </c>
      <c r="P336">
        <f t="shared" si="67"/>
        <v>8.4981716966801013E-3</v>
      </c>
      <c r="Q336">
        <f t="shared" si="68"/>
        <v>7.3966459350696123E-3</v>
      </c>
      <c r="R336">
        <f t="shared" si="77"/>
        <v>2.5328877892640933E-2</v>
      </c>
      <c r="S336" s="3">
        <f t="shared" si="69"/>
        <v>-5.8822752596806374E-2</v>
      </c>
      <c r="T336" s="3">
        <f t="shared" si="74"/>
        <v>6.264468964568698E-4</v>
      </c>
      <c r="V336" t="str">
        <f t="shared" si="75"/>
        <v>-1-11</v>
      </c>
    </row>
    <row r="337" spans="1:22">
      <c r="A337" s="1">
        <v>45782</v>
      </c>
      <c r="B337" t="s">
        <v>7</v>
      </c>
      <c r="C337">
        <v>562.57000730000004</v>
      </c>
      <c r="D337">
        <v>566.65002440000001</v>
      </c>
      <c r="E337">
        <v>561.70001219999995</v>
      </c>
      <c r="F337">
        <v>563.51000980000003</v>
      </c>
      <c r="G337">
        <v>38659200</v>
      </c>
      <c r="H337">
        <f t="shared" si="78"/>
        <v>556.98798827999997</v>
      </c>
      <c r="I337">
        <f t="shared" si="70"/>
        <v>535.04499511000006</v>
      </c>
      <c r="J337" s="4">
        <f t="shared" si="71"/>
        <v>566.38774059516106</v>
      </c>
      <c r="K337">
        <f t="shared" si="76"/>
        <v>5.7765398583054925E-3</v>
      </c>
      <c r="L337">
        <f t="shared" si="65"/>
        <v>6.0837566444357791E-3</v>
      </c>
      <c r="M337" s="3">
        <f t="shared" si="72"/>
        <v>-9.6990089941269254E-4</v>
      </c>
      <c r="N337" t="str">
        <f t="shared" ca="1" si="73"/>
        <v>wait</v>
      </c>
      <c r="O337">
        <f t="shared" si="66"/>
        <v>1.0021794253117777E-2</v>
      </c>
      <c r="P337">
        <f t="shared" si="67"/>
        <v>1.7544402618405508E-2</v>
      </c>
      <c r="Q337">
        <f t="shared" si="68"/>
        <v>9.6806694820310568E-3</v>
      </c>
      <c r="R337">
        <f t="shared" si="77"/>
        <v>2.2840235469614445E-3</v>
      </c>
      <c r="S337" s="3">
        <f t="shared" si="69"/>
        <v>-5.5337965917528514E-2</v>
      </c>
      <c r="T337" s="3">
        <f t="shared" si="74"/>
        <v>3.4847866792778598E-3</v>
      </c>
      <c r="V337" t="str">
        <f t="shared" si="75"/>
        <v>-1-11</v>
      </c>
    </row>
    <row r="338" spans="1:22">
      <c r="A338" s="1">
        <v>45783</v>
      </c>
      <c r="B338" t="s">
        <v>7</v>
      </c>
      <c r="C338">
        <v>557.92999269999996</v>
      </c>
      <c r="D338">
        <v>563.34997559999999</v>
      </c>
      <c r="E338">
        <v>556.96002199999998</v>
      </c>
      <c r="F338">
        <v>558.79998780000005</v>
      </c>
      <c r="G338">
        <v>48264700</v>
      </c>
      <c r="H338">
        <f t="shared" si="78"/>
        <v>559.51999511999998</v>
      </c>
      <c r="I338">
        <f t="shared" si="70"/>
        <v>537.95649565999997</v>
      </c>
      <c r="J338" s="4">
        <f t="shared" si="71"/>
        <v>565.77048221612893</v>
      </c>
      <c r="K338">
        <f t="shared" si="76"/>
        <v>3.3157751403428337E-3</v>
      </c>
      <c r="L338">
        <f t="shared" si="65"/>
        <v>5.8616523579005991E-3</v>
      </c>
      <c r="M338" s="3">
        <f t="shared" si="72"/>
        <v>-1.1229343306002918E-3</v>
      </c>
      <c r="N338" t="str">
        <f t="shared" ca="1" si="73"/>
        <v>wait</v>
      </c>
      <c r="O338">
        <f t="shared" si="66"/>
        <v>-2.841725825471153E-3</v>
      </c>
      <c r="P338">
        <f t="shared" si="67"/>
        <v>7.1311386810122279E-3</v>
      </c>
      <c r="Q338">
        <f t="shared" si="68"/>
        <v>3.8962273002101089E-3</v>
      </c>
      <c r="R338">
        <f t="shared" si="77"/>
        <v>-5.7844421818209479E-3</v>
      </c>
      <c r="S338" s="3">
        <f t="shared" si="69"/>
        <v>-4.916125430789757E-2</v>
      </c>
      <c r="T338" s="3">
        <f t="shared" si="74"/>
        <v>6.1767116096309443E-3</v>
      </c>
      <c r="V338" t="str">
        <f t="shared" si="75"/>
        <v>-1-11</v>
      </c>
    </row>
    <row r="339" spans="1:22">
      <c r="A339" s="1">
        <v>45784</v>
      </c>
      <c r="B339" t="s">
        <v>7</v>
      </c>
      <c r="C339">
        <v>560.15002440000001</v>
      </c>
      <c r="D339">
        <v>563.82000730000004</v>
      </c>
      <c r="E339">
        <v>556.03997800000002</v>
      </c>
      <c r="F339">
        <v>561.15002440000001</v>
      </c>
      <c r="G339">
        <v>55588000</v>
      </c>
      <c r="H339">
        <f t="shared" si="78"/>
        <v>560.41599122000002</v>
      </c>
      <c r="I339">
        <f t="shared" si="70"/>
        <v>540.67749480500004</v>
      </c>
      <c r="J339" s="4">
        <f t="shared" si="71"/>
        <v>565.03790184677393</v>
      </c>
      <c r="K339">
        <f t="shared" si="76"/>
        <v>1.5364121502525953E-3</v>
      </c>
      <c r="L339">
        <f t="shared" si="65"/>
        <v>6.2761818622341344E-3</v>
      </c>
      <c r="M339" s="3">
        <f t="shared" si="72"/>
        <v>-1.306241449176074E-3</v>
      </c>
      <c r="N339" t="str">
        <f t="shared" ca="1" si="73"/>
        <v>wait</v>
      </c>
      <c r="O339">
        <f t="shared" si="66"/>
        <v>-4.7458820620205344E-4</v>
      </c>
      <c r="P339">
        <f t="shared" si="67"/>
        <v>-2.8835783512922708E-3</v>
      </c>
      <c r="Q339">
        <f t="shared" si="68"/>
        <v>-6.1667926578550247E-3</v>
      </c>
      <c r="R339">
        <f t="shared" si="77"/>
        <v>-1.0063019958065134E-2</v>
      </c>
      <c r="S339" s="3">
        <f t="shared" si="69"/>
        <v>-4.3112872538557445E-2</v>
      </c>
      <c r="T339" s="3">
        <f t="shared" si="74"/>
        <v>6.0483817693401248E-3</v>
      </c>
      <c r="V339" t="str">
        <f t="shared" si="75"/>
        <v>-1-11</v>
      </c>
    </row>
    <row r="340" spans="1:22">
      <c r="A340" s="1">
        <v>45785</v>
      </c>
      <c r="B340" t="s">
        <v>7</v>
      </c>
      <c r="C340">
        <v>565.23999019999997</v>
      </c>
      <c r="D340">
        <v>570.30999759999997</v>
      </c>
      <c r="E340">
        <v>561.70001219999995</v>
      </c>
      <c r="F340">
        <v>565.05999759999997</v>
      </c>
      <c r="G340">
        <v>65130800</v>
      </c>
      <c r="H340">
        <f t="shared" si="78"/>
        <v>561.7380005</v>
      </c>
      <c r="I340">
        <f t="shared" si="70"/>
        <v>543.91099547500005</v>
      </c>
      <c r="J340" s="4">
        <f t="shared" si="71"/>
        <v>564.30935373548357</v>
      </c>
      <c r="K340">
        <f t="shared" si="76"/>
        <v>9.5978435389848635E-4</v>
      </c>
      <c r="L340">
        <f t="shared" si="65"/>
        <v>1.1419588614990333E-3</v>
      </c>
      <c r="M340" s="3">
        <f t="shared" si="72"/>
        <v>-1.0991448145435732E-3</v>
      </c>
      <c r="N340" t="str">
        <f t="shared" ca="1" si="73"/>
        <v>wait</v>
      </c>
      <c r="O340">
        <f t="shared" si="66"/>
        <v>6.2342047304666526E-3</v>
      </c>
      <c r="P340">
        <f t="shared" si="67"/>
        <v>-1.0467087850147827E-3</v>
      </c>
      <c r="Q340">
        <f t="shared" si="68"/>
        <v>-1.0143558909897821E-2</v>
      </c>
      <c r="R340">
        <f t="shared" si="77"/>
        <v>-3.976766252042796E-3</v>
      </c>
      <c r="S340" s="3">
        <f t="shared" si="69"/>
        <v>-3.6147475007201668E-2</v>
      </c>
      <c r="T340" s="3">
        <f t="shared" si="74"/>
        <v>6.965397531355777E-3</v>
      </c>
      <c r="V340" t="str">
        <f t="shared" si="75"/>
        <v>-1-11</v>
      </c>
    </row>
    <row r="341" spans="1:22">
      <c r="A341" s="1">
        <v>45786</v>
      </c>
      <c r="B341" t="s">
        <v>7</v>
      </c>
      <c r="C341">
        <v>566.47998050000001</v>
      </c>
      <c r="D341">
        <v>567.5</v>
      </c>
      <c r="E341">
        <v>562.76000980000003</v>
      </c>
      <c r="F341">
        <v>564.3400269</v>
      </c>
      <c r="G341">
        <v>37603400</v>
      </c>
      <c r="H341">
        <f t="shared" si="78"/>
        <v>563.05600587999993</v>
      </c>
      <c r="I341">
        <f t="shared" si="70"/>
        <v>544.73299559999998</v>
      </c>
      <c r="J341" s="4">
        <f t="shared" si="71"/>
        <v>563.73338564032247</v>
      </c>
      <c r="K341">
        <f t="shared" si="76"/>
        <v>-5.9990548754488356E-4</v>
      </c>
      <c r="L341">
        <f t="shared" si="65"/>
        <v>3.8583227706406676E-3</v>
      </c>
      <c r="M341" s="3">
        <f t="shared" si="72"/>
        <v>-1.0964145271596508E-3</v>
      </c>
      <c r="N341" t="str">
        <f t="shared" ca="1" si="73"/>
        <v>wait</v>
      </c>
      <c r="O341">
        <f t="shared" si="66"/>
        <v>6.081055142372227E-3</v>
      </c>
      <c r="P341">
        <f t="shared" si="67"/>
        <v>3.5591339033280711E-3</v>
      </c>
      <c r="Q341">
        <f t="shared" si="68"/>
        <v>-2.4082749599317888E-3</v>
      </c>
      <c r="R341">
        <f t="shared" si="77"/>
        <v>7.735283949966032E-3</v>
      </c>
      <c r="S341" s="3">
        <f t="shared" si="69"/>
        <v>-3.3704567663206064E-2</v>
      </c>
      <c r="T341" s="3">
        <f t="shared" si="74"/>
        <v>2.4429073439956039E-3</v>
      </c>
      <c r="V341" t="str">
        <f t="shared" si="75"/>
        <v>-1-11</v>
      </c>
    </row>
    <row r="342" spans="1:22">
      <c r="A342" s="1">
        <v>45789</v>
      </c>
      <c r="B342" t="s">
        <v>7</v>
      </c>
      <c r="C342">
        <v>581.46997069999998</v>
      </c>
      <c r="D342">
        <v>583</v>
      </c>
      <c r="E342">
        <v>577.03997800000002</v>
      </c>
      <c r="F342">
        <v>582.98999019999997</v>
      </c>
      <c r="G342">
        <v>78993600</v>
      </c>
      <c r="H342">
        <f t="shared" si="78"/>
        <v>562.57200929999999</v>
      </c>
      <c r="I342">
        <f t="shared" si="70"/>
        <v>546.72099608999986</v>
      </c>
      <c r="J342" s="4">
        <f t="shared" si="71"/>
        <v>563.07999937096758</v>
      </c>
      <c r="K342">
        <f t="shared" si="76"/>
        <v>2.9458823643418574E-4</v>
      </c>
      <c r="L342">
        <f t="shared" si="65"/>
        <v>2.8467640899122837E-3</v>
      </c>
      <c r="M342" s="3">
        <f t="shared" si="72"/>
        <v>-1.1280713150408398E-3</v>
      </c>
      <c r="N342" t="str">
        <f t="shared" ca="1" si="73"/>
        <v>wait</v>
      </c>
      <c r="O342">
        <f t="shared" si="66"/>
        <v>3.3592075481171602E-2</v>
      </c>
      <c r="P342">
        <f t="shared" si="67"/>
        <v>3.14274007731008E-3</v>
      </c>
      <c r="Q342">
        <f t="shared" si="68"/>
        <v>3.3418033050369722E-4</v>
      </c>
      <c r="R342">
        <f t="shared" si="77"/>
        <v>2.742455290435486E-3</v>
      </c>
      <c r="S342" s="3">
        <f t="shared" si="69"/>
        <v>-2.905271595375937E-2</v>
      </c>
      <c r="T342" s="3">
        <f t="shared" si="74"/>
        <v>4.6518517094466943E-3</v>
      </c>
      <c r="V342" t="str">
        <f t="shared" si="75"/>
        <v>-1-11</v>
      </c>
    </row>
    <row r="343" spans="1:22">
      <c r="A343" s="1">
        <v>45790</v>
      </c>
      <c r="B343" t="s">
        <v>7</v>
      </c>
      <c r="C343">
        <v>583.4099731</v>
      </c>
      <c r="D343">
        <v>589.08001709999996</v>
      </c>
      <c r="E343">
        <v>582.8400269</v>
      </c>
      <c r="F343">
        <v>586.8400269</v>
      </c>
      <c r="G343">
        <v>67947200</v>
      </c>
      <c r="H343">
        <f t="shared" si="78"/>
        <v>566.46800537999991</v>
      </c>
      <c r="I343">
        <f t="shared" si="70"/>
        <v>549.17349547999993</v>
      </c>
      <c r="J343" s="4">
        <f t="shared" si="71"/>
        <v>562.71999925161288</v>
      </c>
      <c r="K343">
        <f t="shared" si="76"/>
        <v>8.6578392727731223E-3</v>
      </c>
      <c r="L343">
        <f t="shared" ref="L343:L406" si="79">(F342-F323)/F323/20</f>
        <v>4.0686670406152019E-3</v>
      </c>
      <c r="M343" s="3">
        <f t="shared" si="72"/>
        <v>-5.6268219340884558E-4</v>
      </c>
      <c r="N343" t="str">
        <f t="shared" ca="1" si="73"/>
        <v>wait</v>
      </c>
      <c r="O343">
        <f t="shared" ref="O343:O406" si="80">C343/H343-1</f>
        <v>2.9908075229482689E-2</v>
      </c>
      <c r="P343">
        <f t="shared" ref="P343:P406" si="81">F342/H343-1</f>
        <v>2.9166669014107471E-2</v>
      </c>
      <c r="Q343">
        <f t="shared" ref="Q343:Q406" si="82">E342/H343-1</f>
        <v>1.8662965109403018E-2</v>
      </c>
      <c r="R343">
        <f t="shared" si="77"/>
        <v>1.8328784778899321E-2</v>
      </c>
      <c r="S343" s="3">
        <f t="shared" ref="S343:S406" si="83">(I343-J343)/J343</f>
        <v>-2.4073258085067287E-2</v>
      </c>
      <c r="T343" s="3">
        <f t="shared" si="74"/>
        <v>4.9794578686920832E-3</v>
      </c>
      <c r="V343" t="str">
        <f t="shared" si="75"/>
        <v>-1-11</v>
      </c>
    </row>
    <row r="344" spans="1:22">
      <c r="A344" s="1">
        <v>45791</v>
      </c>
      <c r="B344" t="s">
        <v>7</v>
      </c>
      <c r="C344">
        <v>587.80999759999997</v>
      </c>
      <c r="D344">
        <v>588.97998050000001</v>
      </c>
      <c r="E344">
        <v>585.53997800000002</v>
      </c>
      <c r="F344">
        <v>587.5900269</v>
      </c>
      <c r="G344">
        <v>66283500</v>
      </c>
      <c r="H344">
        <f t="shared" si="78"/>
        <v>572.07601320000003</v>
      </c>
      <c r="I344">
        <f t="shared" si="70"/>
        <v>551.55949706999991</v>
      </c>
      <c r="J344" s="4">
        <f t="shared" si="71"/>
        <v>562.45354830806446</v>
      </c>
      <c r="K344">
        <f t="shared" si="76"/>
        <v>9.1561975881471573E-3</v>
      </c>
      <c r="L344">
        <f t="shared" si="79"/>
        <v>4.5786018523606056E-3</v>
      </c>
      <c r="M344" s="3">
        <f t="shared" si="72"/>
        <v>-6.2568553108348726E-4</v>
      </c>
      <c r="N344" t="str">
        <f t="shared" ca="1" si="73"/>
        <v>wait</v>
      </c>
      <c r="O344">
        <f t="shared" si="80"/>
        <v>2.7503310813521642E-2</v>
      </c>
      <c r="P344">
        <f t="shared" si="81"/>
        <v>2.5807783160519238E-2</v>
      </c>
      <c r="Q344">
        <f t="shared" si="82"/>
        <v>1.8815705346199918E-2</v>
      </c>
      <c r="R344">
        <f t="shared" si="77"/>
        <v>1.5274023679689996E-4</v>
      </c>
      <c r="S344" s="3">
        <f t="shared" si="83"/>
        <v>-1.9368801691864709E-2</v>
      </c>
      <c r="T344" s="3">
        <f t="shared" si="74"/>
        <v>4.7044563932025774E-3</v>
      </c>
      <c r="V344" t="str">
        <f t="shared" si="75"/>
        <v>-1-11</v>
      </c>
    </row>
    <row r="345" spans="1:22">
      <c r="A345" s="1">
        <v>45792</v>
      </c>
      <c r="B345" t="s">
        <v>7</v>
      </c>
      <c r="C345">
        <v>585.55999759999997</v>
      </c>
      <c r="D345">
        <v>590.96997069999998</v>
      </c>
      <c r="E345">
        <v>585.09997559999999</v>
      </c>
      <c r="F345">
        <v>590.46002199999998</v>
      </c>
      <c r="G345">
        <v>71268100</v>
      </c>
      <c r="H345">
        <f t="shared" si="78"/>
        <v>577.36401369999999</v>
      </c>
      <c r="I345">
        <f t="shared" si="70"/>
        <v>554.05849914499981</v>
      </c>
      <c r="J345" s="4">
        <f t="shared" si="71"/>
        <v>562.09645228225793</v>
      </c>
      <c r="K345">
        <f t="shared" si="76"/>
        <v>7.9743848071683159E-3</v>
      </c>
      <c r="L345">
        <f t="shared" si="79"/>
        <v>5.890695218315453E-3</v>
      </c>
      <c r="M345" s="3">
        <f t="shared" si="72"/>
        <v>-6.0439519046478238E-4</v>
      </c>
      <c r="N345" t="str">
        <f t="shared" ca="1" si="73"/>
        <v>wait</v>
      </c>
      <c r="O345">
        <f t="shared" si="80"/>
        <v>1.4195522591504472E-2</v>
      </c>
      <c r="P345">
        <f t="shared" si="81"/>
        <v>1.7711552776674244E-2</v>
      </c>
      <c r="Q345">
        <f t="shared" si="82"/>
        <v>1.4160848452616337E-2</v>
      </c>
      <c r="R345">
        <f t="shared" si="77"/>
        <v>-4.654856893583581E-3</v>
      </c>
      <c r="S345" s="3">
        <f t="shared" si="83"/>
        <v>-1.4299953512643482E-2</v>
      </c>
      <c r="T345" s="3">
        <f t="shared" si="74"/>
        <v>5.0688481792212272E-3</v>
      </c>
      <c r="V345" t="str">
        <f t="shared" si="75"/>
        <v>-1-11</v>
      </c>
    </row>
    <row r="346" spans="1:22">
      <c r="A346" s="1">
        <v>45793</v>
      </c>
      <c r="B346" t="s">
        <v>7</v>
      </c>
      <c r="C346">
        <v>591.25</v>
      </c>
      <c r="D346">
        <v>594.5</v>
      </c>
      <c r="E346">
        <v>589.28002930000002</v>
      </c>
      <c r="F346">
        <v>594.20001219999995</v>
      </c>
      <c r="G346">
        <v>76052100</v>
      </c>
      <c r="H346">
        <f t="shared" si="78"/>
        <v>582.44401858000003</v>
      </c>
      <c r="I346">
        <f t="shared" si="70"/>
        <v>557.29850158999989</v>
      </c>
      <c r="J346" s="4">
        <f t="shared" si="71"/>
        <v>561.78612985967732</v>
      </c>
      <c r="K346">
        <f t="shared" si="76"/>
        <v>9.2568288106306511E-3</v>
      </c>
      <c r="L346">
        <f t="shared" si="79"/>
        <v>6.0836659802257064E-3</v>
      </c>
      <c r="M346" s="3">
        <f t="shared" si="72"/>
        <v>-5.7318921914872542E-4</v>
      </c>
      <c r="N346" t="str">
        <f t="shared" ca="1" si="73"/>
        <v>wait</v>
      </c>
      <c r="O346">
        <f t="shared" si="80"/>
        <v>1.5119017689406489E-2</v>
      </c>
      <c r="P346">
        <f t="shared" si="81"/>
        <v>1.3762701932355625E-2</v>
      </c>
      <c r="Q346">
        <f t="shared" si="82"/>
        <v>4.5600211097973631E-3</v>
      </c>
      <c r="R346">
        <f t="shared" si="77"/>
        <v>-9.6008273428189739E-3</v>
      </c>
      <c r="S346" s="3">
        <f t="shared" si="83"/>
        <v>-7.9881435855284413E-3</v>
      </c>
      <c r="T346" s="3">
        <f t="shared" si="74"/>
        <v>6.3118099271150408E-3</v>
      </c>
      <c r="V346" t="str">
        <f t="shared" si="75"/>
        <v>-1-11</v>
      </c>
    </row>
    <row r="347" spans="1:22">
      <c r="A347" s="1">
        <v>45796</v>
      </c>
      <c r="B347" t="s">
        <v>7</v>
      </c>
      <c r="C347">
        <v>588.09997559999999</v>
      </c>
      <c r="D347">
        <v>595.53997800000002</v>
      </c>
      <c r="E347">
        <v>588.09997559999999</v>
      </c>
      <c r="F347">
        <v>594.84997559999999</v>
      </c>
      <c r="G347">
        <v>68168500</v>
      </c>
      <c r="H347">
        <f t="shared" si="78"/>
        <v>588.41601563999996</v>
      </c>
      <c r="I347">
        <f t="shared" si="70"/>
        <v>560.68800354500002</v>
      </c>
      <c r="J347" s="4">
        <f t="shared" si="71"/>
        <v>561.50725924677408</v>
      </c>
      <c r="K347">
        <f t="shared" si="76"/>
        <v>3.8456996478290414E-3</v>
      </c>
      <c r="L347">
        <f t="shared" si="79"/>
        <v>7.815054733996709E-3</v>
      </c>
      <c r="M347" s="3">
        <f t="shared" si="72"/>
        <v>-5.0930178875984193E-4</v>
      </c>
      <c r="N347" t="str">
        <f t="shared" ca="1" si="73"/>
        <v>wait</v>
      </c>
      <c r="O347">
        <f t="shared" si="80"/>
        <v>-5.3710305566079253E-4</v>
      </c>
      <c r="P347">
        <f t="shared" si="81"/>
        <v>9.8297741840165376E-3</v>
      </c>
      <c r="Q347">
        <f t="shared" si="82"/>
        <v>1.4683720990502636E-3</v>
      </c>
      <c r="R347">
        <f t="shared" si="77"/>
        <v>-3.0916490107470995E-3</v>
      </c>
      <c r="S347" s="3">
        <f t="shared" si="83"/>
        <v>-1.4590295820450249E-3</v>
      </c>
      <c r="T347" s="3">
        <f t="shared" si="74"/>
        <v>6.5291140034834166E-3</v>
      </c>
      <c r="V347" t="str">
        <f t="shared" si="75"/>
        <v>-1-11</v>
      </c>
    </row>
    <row r="348" spans="1:22">
      <c r="A348" s="1">
        <v>45797</v>
      </c>
      <c r="B348" t="s">
        <v>7</v>
      </c>
      <c r="C348">
        <v>593.0900269</v>
      </c>
      <c r="D348">
        <v>594.04998780000005</v>
      </c>
      <c r="E348">
        <v>589.59997559999999</v>
      </c>
      <c r="F348">
        <v>592.84997559999999</v>
      </c>
      <c r="G348">
        <v>60614500</v>
      </c>
      <c r="H348">
        <f t="shared" si="78"/>
        <v>590.78801271999998</v>
      </c>
      <c r="I348">
        <f t="shared" si="70"/>
        <v>564.73650207999992</v>
      </c>
      <c r="J348" s="4">
        <f t="shared" si="71"/>
        <v>561.215646067742</v>
      </c>
      <c r="K348">
        <f t="shared" si="76"/>
        <v>2.7298576555225074E-3</v>
      </c>
      <c r="L348">
        <f t="shared" si="79"/>
        <v>6.4106188335704122E-3</v>
      </c>
      <c r="M348" s="3">
        <f t="shared" si="72"/>
        <v>-4.2405357251024697E-4</v>
      </c>
      <c r="N348" t="str">
        <f t="shared" ca="1" si="73"/>
        <v>wait</v>
      </c>
      <c r="O348">
        <f t="shared" si="80"/>
        <v>3.8965147065213035E-3</v>
      </c>
      <c r="P348">
        <f t="shared" si="81"/>
        <v>6.8754998282694046E-3</v>
      </c>
      <c r="Q348">
        <f t="shared" si="82"/>
        <v>-4.5499181806757383E-3</v>
      </c>
      <c r="R348">
        <f t="shared" si="77"/>
        <v>-6.0182902797260018E-3</v>
      </c>
      <c r="S348" s="3">
        <f t="shared" si="83"/>
        <v>6.2736241174447495E-3</v>
      </c>
      <c r="T348" s="3">
        <f t="shared" si="74"/>
        <v>7.7326536994897742E-3</v>
      </c>
      <c r="V348" t="str">
        <f t="shared" si="75"/>
        <v>-111</v>
      </c>
    </row>
    <row r="349" spans="1:22">
      <c r="A349" s="1">
        <v>45798</v>
      </c>
      <c r="B349" t="s">
        <v>7</v>
      </c>
      <c r="C349">
        <v>588.44000240000003</v>
      </c>
      <c r="D349">
        <v>592.58001709999996</v>
      </c>
      <c r="E349">
        <v>581.82000730000004</v>
      </c>
      <c r="F349">
        <v>582.85998540000003</v>
      </c>
      <c r="G349">
        <v>95197700</v>
      </c>
      <c r="H349">
        <f t="shared" si="78"/>
        <v>591.99000246000003</v>
      </c>
      <c r="I349">
        <f t="shared" si="70"/>
        <v>568.01650085999995</v>
      </c>
      <c r="J349" s="4">
        <f t="shared" si="71"/>
        <v>560.93290365967755</v>
      </c>
      <c r="K349">
        <f t="shared" si="76"/>
        <v>1.7903464862228402E-3</v>
      </c>
      <c r="L349">
        <f t="shared" si="79"/>
        <v>5.3630789412211863E-3</v>
      </c>
      <c r="M349" s="3">
        <f t="shared" si="72"/>
        <v>-1.9696488458948919E-4</v>
      </c>
      <c r="N349" t="str">
        <f t="shared" ca="1" si="73"/>
        <v>wait</v>
      </c>
      <c r="O349">
        <f t="shared" si="80"/>
        <v>-5.9967229940506295E-3</v>
      </c>
      <c r="P349">
        <f t="shared" si="81"/>
        <v>1.4526818635895999E-3</v>
      </c>
      <c r="Q349">
        <f t="shared" si="82"/>
        <v>-4.0372757142321802E-3</v>
      </c>
      <c r="R349">
        <f t="shared" si="77"/>
        <v>5.1264246644355804E-4</v>
      </c>
      <c r="S349" s="3">
        <f t="shared" si="83"/>
        <v>1.2628243331969123E-2</v>
      </c>
      <c r="T349" s="3">
        <f t="shared" si="74"/>
        <v>6.3546192145243737E-3</v>
      </c>
      <c r="V349" t="str">
        <f t="shared" si="75"/>
        <v>-111</v>
      </c>
    </row>
    <row r="350" spans="1:22">
      <c r="A350" s="1">
        <v>45799</v>
      </c>
      <c r="B350" t="s">
        <v>7</v>
      </c>
      <c r="C350">
        <v>582.6599731</v>
      </c>
      <c r="D350">
        <v>586.61999509999998</v>
      </c>
      <c r="E350">
        <v>581.4099731</v>
      </c>
      <c r="F350">
        <v>583.0900269</v>
      </c>
      <c r="G350">
        <v>70860400</v>
      </c>
      <c r="H350">
        <f t="shared" si="78"/>
        <v>591.04399416000001</v>
      </c>
      <c r="I350">
        <f t="shared" si="70"/>
        <v>570.38850098499995</v>
      </c>
      <c r="J350" s="4">
        <f t="shared" si="71"/>
        <v>560.65741951451616</v>
      </c>
      <c r="K350">
        <f t="shared" si="76"/>
        <v>-2.5742764342477206E-3</v>
      </c>
      <c r="L350">
        <f t="shared" si="79"/>
        <v>3.3080889389975792E-3</v>
      </c>
      <c r="M350" s="3">
        <f t="shared" si="72"/>
        <v>-4.0047431867555947E-4</v>
      </c>
      <c r="N350" t="str">
        <f t="shared" ca="1" si="73"/>
        <v>wait</v>
      </c>
      <c r="O350">
        <f t="shared" si="80"/>
        <v>-1.4185104903934431E-2</v>
      </c>
      <c r="P350">
        <f t="shared" si="81"/>
        <v>-1.3846699807230411E-2</v>
      </c>
      <c r="Q350">
        <f t="shared" si="82"/>
        <v>-1.5606261041716918E-2</v>
      </c>
      <c r="R350">
        <f t="shared" si="77"/>
        <v>-1.1568985327484738E-2</v>
      </c>
      <c r="S350" s="3">
        <f t="shared" si="83"/>
        <v>1.7356555236368965E-2</v>
      </c>
      <c r="T350" s="3">
        <f t="shared" si="74"/>
        <v>4.7283119043998421E-3</v>
      </c>
      <c r="V350" t="str">
        <f t="shared" si="75"/>
        <v>-111</v>
      </c>
    </row>
    <row r="351" spans="1:22">
      <c r="A351" s="1">
        <v>45800</v>
      </c>
      <c r="B351" t="s">
        <v>7</v>
      </c>
      <c r="C351">
        <v>575.97998050000001</v>
      </c>
      <c r="D351">
        <v>581.80999759999997</v>
      </c>
      <c r="E351">
        <v>575.59997559999999</v>
      </c>
      <c r="F351">
        <v>579.10998540000003</v>
      </c>
      <c r="G351">
        <v>76029000</v>
      </c>
      <c r="H351">
        <f t="shared" si="78"/>
        <v>589.56999513999995</v>
      </c>
      <c r="I351">
        <f t="shared" si="70"/>
        <v>572.20850221000001</v>
      </c>
      <c r="J351" s="4">
        <f t="shared" si="71"/>
        <v>560.42967765806441</v>
      </c>
      <c r="K351">
        <f t="shared" si="76"/>
        <v>-3.7394766314008329E-3</v>
      </c>
      <c r="L351">
        <f t="shared" si="79"/>
        <v>2.9465723012858597E-3</v>
      </c>
      <c r="M351" s="3">
        <f t="shared" si="72"/>
        <v>-3.1272335206541967E-4</v>
      </c>
      <c r="N351" t="str">
        <f t="shared" ca="1" si="73"/>
        <v>wait</v>
      </c>
      <c r="O351">
        <f t="shared" si="80"/>
        <v>-2.3050722987985273E-2</v>
      </c>
      <c r="P351">
        <f t="shared" si="81"/>
        <v>-1.0991007502783812E-2</v>
      </c>
      <c r="Q351">
        <f t="shared" si="82"/>
        <v>-1.3840633185652984E-2</v>
      </c>
      <c r="R351">
        <f t="shared" si="77"/>
        <v>1.7656278560639338E-3</v>
      </c>
      <c r="S351" s="3">
        <f t="shared" si="83"/>
        <v>2.1017488940195325E-2</v>
      </c>
      <c r="T351" s="3">
        <f t="shared" si="74"/>
        <v>3.6609337038263599E-3</v>
      </c>
      <c r="V351" t="str">
        <f t="shared" si="75"/>
        <v>-111</v>
      </c>
    </row>
    <row r="352" spans="1:22">
      <c r="A352" s="1">
        <v>45804</v>
      </c>
      <c r="B352" t="s">
        <v>7</v>
      </c>
      <c r="C352">
        <v>586.07000730000004</v>
      </c>
      <c r="D352">
        <v>591.30999759999997</v>
      </c>
      <c r="E352">
        <v>578.42999269999996</v>
      </c>
      <c r="F352">
        <v>591.15002440000001</v>
      </c>
      <c r="G352">
        <v>72588500</v>
      </c>
      <c r="H352">
        <f t="shared" si="78"/>
        <v>586.55198977999999</v>
      </c>
      <c r="I352">
        <f t="shared" si="70"/>
        <v>573.63200075000009</v>
      </c>
      <c r="J352" s="4">
        <f t="shared" si="71"/>
        <v>560.18564532258063</v>
      </c>
      <c r="K352">
        <f t="shared" si="76"/>
        <v>-5.2920873650952761E-3</v>
      </c>
      <c r="L352">
        <f t="shared" si="79"/>
        <v>2.5651276256496609E-3</v>
      </c>
      <c r="M352" s="3">
        <f t="shared" si="72"/>
        <v>-4.3254710002585086E-4</v>
      </c>
      <c r="N352" t="str">
        <f t="shared" ca="1" si="73"/>
        <v>wait</v>
      </c>
      <c r="O352">
        <f t="shared" si="80"/>
        <v>-8.2172166900451593E-4</v>
      </c>
      <c r="P352">
        <f t="shared" si="81"/>
        <v>-1.2687714831197239E-2</v>
      </c>
      <c r="Q352">
        <f t="shared" si="82"/>
        <v>-1.8671855812999238E-2</v>
      </c>
      <c r="R352">
        <f t="shared" si="77"/>
        <v>-4.8312226273462544E-3</v>
      </c>
      <c r="S352" s="3">
        <f t="shared" si="83"/>
        <v>2.4003391625068208E-2</v>
      </c>
      <c r="T352" s="3">
        <f t="shared" si="74"/>
        <v>2.9859026848728827E-3</v>
      </c>
      <c r="V352" t="str">
        <f t="shared" si="75"/>
        <v>-111</v>
      </c>
    </row>
    <row r="353" spans="1:22">
      <c r="A353" s="1">
        <v>45805</v>
      </c>
      <c r="B353" t="s">
        <v>7</v>
      </c>
      <c r="C353">
        <v>591.55999759999997</v>
      </c>
      <c r="D353">
        <v>592.77001949999999</v>
      </c>
      <c r="E353">
        <v>586.98999019999997</v>
      </c>
      <c r="F353">
        <v>587.72998050000001</v>
      </c>
      <c r="G353">
        <v>68445500</v>
      </c>
      <c r="H353">
        <f t="shared" si="78"/>
        <v>585.81199953999999</v>
      </c>
      <c r="I353">
        <f t="shared" si="70"/>
        <v>575.64700319000008</v>
      </c>
      <c r="J353" s="4">
        <f t="shared" si="71"/>
        <v>560.13096865161276</v>
      </c>
      <c r="K353">
        <f t="shared" si="76"/>
        <v>-5.734844463068531E-4</v>
      </c>
      <c r="L353">
        <f t="shared" si="79"/>
        <v>3.3220898231143422E-3</v>
      </c>
      <c r="M353" s="3">
        <f t="shared" si="72"/>
        <v>1.7377536755273115E-4</v>
      </c>
      <c r="N353" t="str">
        <f t="shared" ca="1" si="73"/>
        <v>wait</v>
      </c>
      <c r="O353">
        <f t="shared" si="80"/>
        <v>9.8120183002627925E-3</v>
      </c>
      <c r="P353">
        <f t="shared" si="81"/>
        <v>9.112180809187187E-3</v>
      </c>
      <c r="Q353">
        <f t="shared" si="82"/>
        <v>-1.2601324052420648E-2</v>
      </c>
      <c r="R353">
        <f t="shared" si="77"/>
        <v>6.0705317605785902E-3</v>
      </c>
      <c r="S353" s="3">
        <f t="shared" si="83"/>
        <v>2.7700726092218436E-2</v>
      </c>
      <c r="T353" s="3">
        <f t="shared" si="74"/>
        <v>3.6973344671502283E-3</v>
      </c>
      <c r="V353" t="str">
        <f t="shared" si="75"/>
        <v>111</v>
      </c>
    </row>
    <row r="354" spans="1:22">
      <c r="A354" s="1">
        <v>45806</v>
      </c>
      <c r="B354" t="s">
        <v>7</v>
      </c>
      <c r="C354">
        <v>593.05999759999997</v>
      </c>
      <c r="D354">
        <v>593.20001219999995</v>
      </c>
      <c r="E354">
        <v>586.07000730000004</v>
      </c>
      <c r="F354">
        <v>590.04998780000005</v>
      </c>
      <c r="G354">
        <v>69973300</v>
      </c>
      <c r="H354">
        <f t="shared" si="78"/>
        <v>584.78800052000008</v>
      </c>
      <c r="I354">
        <f t="shared" ref="I354:I417" si="84">AVERAGE(F334:F353)</f>
        <v>577.31750184999999</v>
      </c>
      <c r="J354" s="4">
        <f t="shared" si="71"/>
        <v>560.1741943403224</v>
      </c>
      <c r="K354">
        <f t="shared" si="76"/>
        <v>1.6710686003458773E-3</v>
      </c>
      <c r="L354">
        <f t="shared" si="79"/>
        <v>2.99257076286031E-3</v>
      </c>
      <c r="M354" s="3">
        <f t="shared" si="72"/>
        <v>-1.8092195067835116E-4</v>
      </c>
      <c r="N354" t="str">
        <f t="shared" ca="1" si="73"/>
        <v>wait</v>
      </c>
      <c r="O354">
        <f t="shared" si="80"/>
        <v>1.414529209327875E-2</v>
      </c>
      <c r="P354">
        <f t="shared" si="81"/>
        <v>5.0308487475527741E-3</v>
      </c>
      <c r="Q354">
        <f t="shared" si="82"/>
        <v>3.7654494928791582E-3</v>
      </c>
      <c r="R354">
        <f t="shared" si="77"/>
        <v>1.6366773545299806E-2</v>
      </c>
      <c r="S354" s="3">
        <f t="shared" si="83"/>
        <v>3.0603529550064415E-2</v>
      </c>
      <c r="T354" s="3">
        <f t="shared" si="74"/>
        <v>2.9028034578459788E-3</v>
      </c>
      <c r="V354" t="str">
        <f t="shared" si="75"/>
        <v>-111</v>
      </c>
    </row>
    <row r="355" spans="1:22">
      <c r="A355" s="1">
        <v>45807</v>
      </c>
      <c r="B355" t="s">
        <v>7</v>
      </c>
      <c r="C355">
        <v>588.92999269999996</v>
      </c>
      <c r="D355">
        <v>591.13000490000002</v>
      </c>
      <c r="E355">
        <v>583.23999019999997</v>
      </c>
      <c r="F355">
        <v>589.39001459999997</v>
      </c>
      <c r="G355">
        <v>90601200</v>
      </c>
      <c r="H355">
        <f t="shared" si="78"/>
        <v>586.226001</v>
      </c>
      <c r="I355">
        <f t="shared" si="84"/>
        <v>579.09300234</v>
      </c>
      <c r="J355" s="4">
        <f t="shared" si="71"/>
        <v>560.10758135806441</v>
      </c>
      <c r="K355">
        <f t="shared" si="76"/>
        <v>2.3872680302912093E-3</v>
      </c>
      <c r="L355">
        <f t="shared" si="79"/>
        <v>2.8273693087219093E-3</v>
      </c>
      <c r="M355" s="3">
        <f t="shared" si="72"/>
        <v>1.7929344576993029E-4</v>
      </c>
      <c r="N355" t="str">
        <f t="shared" ca="1" si="73"/>
        <v>wait</v>
      </c>
      <c r="O355">
        <f t="shared" si="80"/>
        <v>4.6125414010764754E-3</v>
      </c>
      <c r="P355">
        <f t="shared" si="81"/>
        <v>6.5230590138904976E-3</v>
      </c>
      <c r="Q355">
        <f t="shared" si="82"/>
        <v>-2.6609822787437842E-4</v>
      </c>
      <c r="R355">
        <f t="shared" si="77"/>
        <v>-4.0315477207535366E-3</v>
      </c>
      <c r="S355" s="3">
        <f t="shared" si="83"/>
        <v>3.3896025716885679E-2</v>
      </c>
      <c r="T355" s="3">
        <f t="shared" si="74"/>
        <v>3.2924961668212641E-3</v>
      </c>
      <c r="V355" t="str">
        <f t="shared" si="75"/>
        <v>111</v>
      </c>
    </row>
    <row r="356" spans="1:22">
      <c r="A356" s="1">
        <v>45810</v>
      </c>
      <c r="B356" t="s">
        <v>7</v>
      </c>
      <c r="C356">
        <v>587.76000980000003</v>
      </c>
      <c r="D356">
        <v>592.78997800000002</v>
      </c>
      <c r="E356">
        <v>585.05999759999997</v>
      </c>
      <c r="F356">
        <v>592.71002199999998</v>
      </c>
      <c r="G356">
        <v>61630500</v>
      </c>
      <c r="H356">
        <f t="shared" si="78"/>
        <v>587.48599854000008</v>
      </c>
      <c r="I356">
        <f t="shared" si="84"/>
        <v>580.63900453500003</v>
      </c>
      <c r="J356" s="4">
        <f t="shared" si="71"/>
        <v>560.19822644032251</v>
      </c>
      <c r="K356">
        <f t="shared" si="76"/>
        <v>3.5502855965777805E-3</v>
      </c>
      <c r="L356">
        <f t="shared" si="79"/>
        <v>1.9964362700877294E-3</v>
      </c>
      <c r="M356" s="3">
        <f t="shared" si="72"/>
        <v>3.6201821115255858E-4</v>
      </c>
      <c r="N356" t="str">
        <f t="shared" ca="1" si="73"/>
        <v>wait</v>
      </c>
      <c r="O356">
        <f t="shared" si="80"/>
        <v>4.6641326036866992E-4</v>
      </c>
      <c r="P356">
        <f t="shared" si="81"/>
        <v>3.2409556393373506E-3</v>
      </c>
      <c r="Q356">
        <f t="shared" si="82"/>
        <v>-7.2274204841513701E-3</v>
      </c>
      <c r="R356">
        <f t="shared" si="77"/>
        <v>-6.9613222562769916E-3</v>
      </c>
      <c r="S356" s="3">
        <f t="shared" si="83"/>
        <v>3.648847341871235E-2</v>
      </c>
      <c r="T356" s="3">
        <f t="shared" si="74"/>
        <v>2.5924477018266709E-3</v>
      </c>
      <c r="V356" t="str">
        <f t="shared" si="75"/>
        <v>111</v>
      </c>
    </row>
    <row r="357" spans="1:22">
      <c r="A357" s="1">
        <v>45811</v>
      </c>
      <c r="B357" t="s">
        <v>7</v>
      </c>
      <c r="C357">
        <v>592.3400269</v>
      </c>
      <c r="D357">
        <v>597.08001709999996</v>
      </c>
      <c r="E357">
        <v>591.84997559999999</v>
      </c>
      <c r="F357">
        <v>596.0900269</v>
      </c>
      <c r="G357">
        <v>63606200</v>
      </c>
      <c r="H357">
        <f t="shared" si="78"/>
        <v>590.20600586</v>
      </c>
      <c r="I357">
        <f t="shared" si="84"/>
        <v>581.93650514499996</v>
      </c>
      <c r="J357" s="4">
        <f t="shared" si="71"/>
        <v>560.45387219193537</v>
      </c>
      <c r="K357">
        <f t="shared" si="76"/>
        <v>5.2778399242504512E-4</v>
      </c>
      <c r="L357">
        <f t="shared" si="79"/>
        <v>2.5909044819242485E-3</v>
      </c>
      <c r="M357" s="3">
        <f t="shared" si="72"/>
        <v>2.7584423672010817E-4</v>
      </c>
      <c r="N357" t="str">
        <f t="shared" ca="1" si="73"/>
        <v>wait</v>
      </c>
      <c r="O357">
        <f t="shared" si="80"/>
        <v>3.6157223390000937E-3</v>
      </c>
      <c r="P357">
        <f t="shared" si="81"/>
        <v>4.2426137910123174E-3</v>
      </c>
      <c r="Q357">
        <f t="shared" si="82"/>
        <v>-8.7190035494499885E-3</v>
      </c>
      <c r="R357">
        <f t="shared" si="77"/>
        <v>-1.4915830652986184E-3</v>
      </c>
      <c r="S357" s="3">
        <f t="shared" si="83"/>
        <v>3.8330777997921561E-2</v>
      </c>
      <c r="T357" s="3">
        <f t="shared" si="74"/>
        <v>1.8423045792092113E-3</v>
      </c>
      <c r="V357" t="str">
        <f t="shared" si="75"/>
        <v>111</v>
      </c>
    </row>
    <row r="358" spans="1:22">
      <c r="A358" s="1">
        <v>45812</v>
      </c>
      <c r="B358" t="s">
        <v>7</v>
      </c>
      <c r="C358">
        <v>596.96002199999998</v>
      </c>
      <c r="D358">
        <v>597.95001219999995</v>
      </c>
      <c r="E358">
        <v>595.48999019999997</v>
      </c>
      <c r="F358">
        <v>595.92999269999996</v>
      </c>
      <c r="G358">
        <v>57314200</v>
      </c>
      <c r="H358">
        <f t="shared" si="78"/>
        <v>591.19400636</v>
      </c>
      <c r="I358">
        <f t="shared" si="84"/>
        <v>583.56550599999991</v>
      </c>
      <c r="J358" s="4">
        <f t="shared" si="71"/>
        <v>560.6640339548386</v>
      </c>
      <c r="K358">
        <f t="shared" si="76"/>
        <v>2.8448596047075353E-3</v>
      </c>
      <c r="L358">
        <f t="shared" si="79"/>
        <v>3.3366177446434025E-3</v>
      </c>
      <c r="M358" s="3">
        <f t="shared" si="72"/>
        <v>6.8039100655607808E-4</v>
      </c>
      <c r="N358" t="str">
        <f t="shared" ca="1" si="73"/>
        <v>wait</v>
      </c>
      <c r="O358">
        <f t="shared" si="80"/>
        <v>9.7531699881423517E-3</v>
      </c>
      <c r="P358">
        <f t="shared" si="81"/>
        <v>8.2815801366880049E-3</v>
      </c>
      <c r="Q358">
        <f t="shared" si="82"/>
        <v>1.1095667969280854E-3</v>
      </c>
      <c r="R358">
        <f t="shared" si="77"/>
        <v>9.8285703463780738E-3</v>
      </c>
      <c r="S358" s="3">
        <f t="shared" si="83"/>
        <v>4.084705038705233E-2</v>
      </c>
      <c r="T358" s="3">
        <f t="shared" si="74"/>
        <v>2.5162723891307692E-3</v>
      </c>
      <c r="V358" t="str">
        <f t="shared" si="75"/>
        <v>111</v>
      </c>
    </row>
    <row r="359" spans="1:22">
      <c r="A359" s="1">
        <v>45813</v>
      </c>
      <c r="B359" t="s">
        <v>7</v>
      </c>
      <c r="C359">
        <v>597.63000490000002</v>
      </c>
      <c r="D359">
        <v>599</v>
      </c>
      <c r="E359">
        <v>591.04998780000005</v>
      </c>
      <c r="F359">
        <v>593.04998780000005</v>
      </c>
      <c r="G359">
        <v>92278700</v>
      </c>
      <c r="H359">
        <f t="shared" si="78"/>
        <v>592.83400880000011</v>
      </c>
      <c r="I359">
        <f t="shared" si="84"/>
        <v>585.42200624500003</v>
      </c>
      <c r="J359" s="4">
        <f t="shared" si="71"/>
        <v>561.03854961129036</v>
      </c>
      <c r="K359">
        <f t="shared" si="76"/>
        <v>1.9930531384039132E-3</v>
      </c>
      <c r="L359">
        <f t="shared" si="79"/>
        <v>3.0989901797819426E-3</v>
      </c>
      <c r="M359" s="3">
        <f t="shared" si="72"/>
        <v>5.7907378322595788E-4</v>
      </c>
      <c r="N359" t="str">
        <f t="shared" ca="1" si="73"/>
        <v>wait</v>
      </c>
      <c r="O359">
        <f t="shared" si="80"/>
        <v>8.089947656187757E-3</v>
      </c>
      <c r="P359">
        <f t="shared" si="81"/>
        <v>5.2223453007809173E-3</v>
      </c>
      <c r="Q359">
        <f t="shared" si="82"/>
        <v>4.4801434475327806E-3</v>
      </c>
      <c r="R359">
        <f t="shared" si="77"/>
        <v>3.3705766506046952E-3</v>
      </c>
      <c r="S359" s="3">
        <f t="shared" si="83"/>
        <v>4.346128559366106E-2</v>
      </c>
      <c r="T359" s="3">
        <f t="shared" si="74"/>
        <v>2.6142352066087296E-3</v>
      </c>
      <c r="V359" t="str">
        <f t="shared" si="75"/>
        <v>111</v>
      </c>
    </row>
    <row r="360" spans="1:22">
      <c r="A360" s="1">
        <v>45814</v>
      </c>
      <c r="B360" t="s">
        <v>7</v>
      </c>
      <c r="C360">
        <v>598.6599731</v>
      </c>
      <c r="D360">
        <v>600.83001709999996</v>
      </c>
      <c r="E360">
        <v>596.85998540000003</v>
      </c>
      <c r="F360">
        <v>599.14001459999997</v>
      </c>
      <c r="G360">
        <v>66588700</v>
      </c>
      <c r="H360">
        <f t="shared" si="78"/>
        <v>593.4340087999999</v>
      </c>
      <c r="I360">
        <f t="shared" si="84"/>
        <v>587.01700441499997</v>
      </c>
      <c r="J360" s="4">
        <f t="shared" si="71"/>
        <v>561.31484001290323</v>
      </c>
      <c r="K360">
        <f t="shared" si="76"/>
        <v>1.2419529036249409E-3</v>
      </c>
      <c r="L360">
        <f t="shared" si="79"/>
        <v>2.4767272784202553E-3</v>
      </c>
      <c r="M360" s="3">
        <f t="shared" si="72"/>
        <v>9.6536830037735372E-4</v>
      </c>
      <c r="N360" t="str">
        <f t="shared" ca="1" si="73"/>
        <v>wait</v>
      </c>
      <c r="O360">
        <f t="shared" si="80"/>
        <v>8.8063107649789529E-3</v>
      </c>
      <c r="P360">
        <f t="shared" si="81"/>
        <v>-6.471166032030462E-4</v>
      </c>
      <c r="Q360">
        <f t="shared" si="82"/>
        <v>-4.017331269605906E-3</v>
      </c>
      <c r="R360">
        <f t="shared" si="77"/>
        <v>-8.4974747171386866E-3</v>
      </c>
      <c r="S360" s="3">
        <f t="shared" si="83"/>
        <v>4.5789212345616788E-2</v>
      </c>
      <c r="T360" s="3">
        <f t="shared" si="74"/>
        <v>2.3279267519557278E-3</v>
      </c>
      <c r="V360" t="str">
        <f t="shared" si="75"/>
        <v>111</v>
      </c>
    </row>
    <row r="361" spans="1:22">
      <c r="A361" s="1">
        <v>45817</v>
      </c>
      <c r="B361" t="s">
        <v>7</v>
      </c>
      <c r="C361">
        <v>599.71997069999998</v>
      </c>
      <c r="D361">
        <v>601.25</v>
      </c>
      <c r="E361">
        <v>598.48999019999997</v>
      </c>
      <c r="F361">
        <v>599.67999269999996</v>
      </c>
      <c r="G361">
        <v>53016400</v>
      </c>
      <c r="H361">
        <f t="shared" si="78"/>
        <v>595.38400879999995</v>
      </c>
      <c r="I361">
        <f t="shared" si="84"/>
        <v>588.72100526499992</v>
      </c>
      <c r="J361" s="4">
        <f t="shared" si="71"/>
        <v>561.93677545645176</v>
      </c>
      <c r="K361">
        <f t="shared" si="76"/>
        <v>2.169692551613373E-3</v>
      </c>
      <c r="L361">
        <f t="shared" si="79"/>
        <v>3.0832464508287012E-3</v>
      </c>
      <c r="M361" s="3">
        <f t="shared" si="72"/>
        <v>1.2957509782414868E-3</v>
      </c>
      <c r="N361" t="str">
        <f t="shared" ca="1" si="73"/>
        <v>wait</v>
      </c>
      <c r="O361">
        <f t="shared" si="80"/>
        <v>7.2826307658802047E-3</v>
      </c>
      <c r="P361">
        <f t="shared" si="81"/>
        <v>6.3085433006007108E-3</v>
      </c>
      <c r="Q361">
        <f t="shared" si="82"/>
        <v>2.4790329907833364E-3</v>
      </c>
      <c r="R361">
        <f t="shared" si="77"/>
        <v>6.4963642603892424E-3</v>
      </c>
      <c r="S361" s="3">
        <f t="shared" si="83"/>
        <v>4.7664134077702577E-2</v>
      </c>
      <c r="T361" s="3">
        <f t="shared" si="74"/>
        <v>1.8749217320857894E-3</v>
      </c>
      <c r="V361" t="str">
        <f t="shared" si="75"/>
        <v>111</v>
      </c>
    </row>
    <row r="362" spans="1:22">
      <c r="A362" s="1">
        <v>45818</v>
      </c>
      <c r="B362" t="s">
        <v>7</v>
      </c>
      <c r="C362">
        <v>600.21997069999998</v>
      </c>
      <c r="D362">
        <v>603.46997069999998</v>
      </c>
      <c r="E362">
        <v>599.0900269</v>
      </c>
      <c r="F362">
        <v>603.08001709999996</v>
      </c>
      <c r="G362">
        <v>66247000</v>
      </c>
      <c r="H362">
        <f t="shared" si="78"/>
        <v>596.77800294000008</v>
      </c>
      <c r="I362">
        <f t="shared" si="84"/>
        <v>590.48800355499998</v>
      </c>
      <c r="J362" s="4">
        <f t="shared" si="71"/>
        <v>562.64258206612919</v>
      </c>
      <c r="K362">
        <f t="shared" si="76"/>
        <v>1.2045045674291114E-3</v>
      </c>
      <c r="L362">
        <f t="shared" si="79"/>
        <v>1.4314141563797978E-3</v>
      </c>
      <c r="M362" s="3">
        <f t="shared" si="72"/>
        <v>1.2170390835617546E-3</v>
      </c>
      <c r="N362" t="str">
        <f t="shared" ca="1" si="73"/>
        <v>wait</v>
      </c>
      <c r="O362">
        <f t="shared" si="80"/>
        <v>5.7675848356393278E-3</v>
      </c>
      <c r="P362">
        <f t="shared" si="81"/>
        <v>4.8627626113955102E-3</v>
      </c>
      <c r="Q362">
        <f t="shared" si="82"/>
        <v>2.8687170967527376E-3</v>
      </c>
      <c r="R362">
        <f t="shared" si="77"/>
        <v>3.8968410596940117E-4</v>
      </c>
      <c r="S362" s="3">
        <f t="shared" si="83"/>
        <v>4.9490426740573329E-2</v>
      </c>
      <c r="T362" s="3">
        <f t="shared" si="74"/>
        <v>1.8262926628707515E-3</v>
      </c>
      <c r="V362" t="str">
        <f t="shared" si="75"/>
        <v>111</v>
      </c>
    </row>
    <row r="363" spans="1:22">
      <c r="A363" s="1">
        <v>45819</v>
      </c>
      <c r="B363" t="s">
        <v>7</v>
      </c>
      <c r="C363">
        <v>604.19000240000003</v>
      </c>
      <c r="D363">
        <v>605.05999759999997</v>
      </c>
      <c r="E363">
        <v>599.27001949999999</v>
      </c>
      <c r="F363">
        <v>601.35998540000003</v>
      </c>
      <c r="G363">
        <v>73658200</v>
      </c>
      <c r="H363">
        <f t="shared" si="78"/>
        <v>598.17600098000003</v>
      </c>
      <c r="I363">
        <f t="shared" si="84"/>
        <v>591.49250489999997</v>
      </c>
      <c r="J363" s="4">
        <f t="shared" si="71"/>
        <v>563.35564693709694</v>
      </c>
      <c r="K363">
        <f t="shared" si="76"/>
        <v>2.3996189108070067E-3</v>
      </c>
      <c r="L363">
        <f t="shared" si="79"/>
        <v>1.3836811955200295E-3</v>
      </c>
      <c r="M363" s="3">
        <f t="shared" si="72"/>
        <v>1.5614243166739592E-3</v>
      </c>
      <c r="N363" t="str">
        <f t="shared" ca="1" si="73"/>
        <v>wait</v>
      </c>
      <c r="O363">
        <f t="shared" si="80"/>
        <v>1.0053899538174704E-2</v>
      </c>
      <c r="P363">
        <f t="shared" si="81"/>
        <v>8.1982829668285628E-3</v>
      </c>
      <c r="Q363">
        <f t="shared" si="82"/>
        <v>1.5280217168567312E-3</v>
      </c>
      <c r="R363">
        <f t="shared" si="77"/>
        <v>-1.3406953798960064E-3</v>
      </c>
      <c r="S363" s="3">
        <f t="shared" si="83"/>
        <v>4.9945106818188575E-2</v>
      </c>
      <c r="T363" s="3">
        <f t="shared" si="74"/>
        <v>4.5468007761524654E-4</v>
      </c>
      <c r="V363" t="str">
        <f t="shared" si="75"/>
        <v>111</v>
      </c>
    </row>
    <row r="364" spans="1:22">
      <c r="A364" s="1">
        <v>45820</v>
      </c>
      <c r="B364" t="s">
        <v>7</v>
      </c>
      <c r="C364">
        <v>600.01000980000003</v>
      </c>
      <c r="D364">
        <v>603.75</v>
      </c>
      <c r="E364">
        <v>599.52001949999999</v>
      </c>
      <c r="F364">
        <v>603.75</v>
      </c>
      <c r="G364">
        <v>64129000</v>
      </c>
      <c r="H364">
        <f t="shared" si="78"/>
        <v>599.26199952000002</v>
      </c>
      <c r="I364">
        <f t="shared" si="84"/>
        <v>592.21850282499986</v>
      </c>
      <c r="J364" s="4">
        <f t="shared" si="71"/>
        <v>564.1611308483873</v>
      </c>
      <c r="K364">
        <f t="shared" si="76"/>
        <v>2.8024610980356126E-3</v>
      </c>
      <c r="L364">
        <f t="shared" si="79"/>
        <v>1.1717318087108627E-3</v>
      </c>
      <c r="M364" s="3">
        <f t="shared" si="72"/>
        <v>1.141592721178533E-3</v>
      </c>
      <c r="N364" t="str">
        <f t="shared" ca="1" si="73"/>
        <v>wait</v>
      </c>
      <c r="O364">
        <f t="shared" si="80"/>
        <v>1.2482191105045448E-3</v>
      </c>
      <c r="P364">
        <f t="shared" si="81"/>
        <v>3.5009493037778672E-3</v>
      </c>
      <c r="Q364">
        <f t="shared" si="82"/>
        <v>1.3383094550345476E-5</v>
      </c>
      <c r="R364">
        <f t="shared" si="77"/>
        <v>-1.5146386223063857E-3</v>
      </c>
      <c r="S364" s="3">
        <f t="shared" si="83"/>
        <v>4.9732905091174562E-2</v>
      </c>
      <c r="T364" s="3">
        <f t="shared" si="74"/>
        <v>-2.1220172701401363E-4</v>
      </c>
      <c r="V364" t="str">
        <f t="shared" si="75"/>
        <v>11-1</v>
      </c>
    </row>
    <row r="365" spans="1:22">
      <c r="A365" s="1">
        <v>45821</v>
      </c>
      <c r="B365" t="s">
        <v>7</v>
      </c>
      <c r="C365">
        <v>598.5</v>
      </c>
      <c r="D365">
        <v>601.84997559999999</v>
      </c>
      <c r="E365">
        <v>595.47998050000001</v>
      </c>
      <c r="F365">
        <v>597</v>
      </c>
      <c r="G365">
        <v>89506000</v>
      </c>
      <c r="H365">
        <f t="shared" si="78"/>
        <v>601.40200196000001</v>
      </c>
      <c r="I365">
        <f t="shared" si="84"/>
        <v>593.02650147999987</v>
      </c>
      <c r="J365" s="4">
        <f t="shared" si="71"/>
        <v>564.82145346774212</v>
      </c>
      <c r="K365">
        <f t="shared" si="76"/>
        <v>1.5388674725982919E-3</v>
      </c>
      <c r="L365">
        <f t="shared" si="79"/>
        <v>1.1253918559112899E-3</v>
      </c>
      <c r="M365" s="3">
        <f t="shared" si="72"/>
        <v>1.0755524413115641E-3</v>
      </c>
      <c r="N365" t="str">
        <f t="shared" ca="1" si="73"/>
        <v>wait</v>
      </c>
      <c r="O365">
        <f t="shared" si="80"/>
        <v>-4.8253945789042962E-3</v>
      </c>
      <c r="P365">
        <f t="shared" si="81"/>
        <v>3.9042072230350833E-3</v>
      </c>
      <c r="Q365">
        <f t="shared" si="82"/>
        <v>-3.1293252331494603E-3</v>
      </c>
      <c r="R365">
        <f t="shared" si="77"/>
        <v>-3.1427083276998058E-3</v>
      </c>
      <c r="S365" s="3">
        <f t="shared" si="83"/>
        <v>4.9936219382411585E-2</v>
      </c>
      <c r="T365" s="3">
        <f t="shared" si="74"/>
        <v>2.0331429123702366E-4</v>
      </c>
      <c r="V365" t="str">
        <f t="shared" si="75"/>
        <v>111</v>
      </c>
    </row>
    <row r="366" spans="1:22">
      <c r="A366" s="1">
        <v>45824</v>
      </c>
      <c r="B366" t="s">
        <v>7</v>
      </c>
      <c r="C366">
        <v>600.40002440000001</v>
      </c>
      <c r="D366">
        <v>604.45001219999995</v>
      </c>
      <c r="E366">
        <v>600.21997069999998</v>
      </c>
      <c r="F366">
        <v>602.67999269999996</v>
      </c>
      <c r="G366">
        <v>79984100</v>
      </c>
      <c r="H366">
        <f t="shared" si="78"/>
        <v>600.97399903999997</v>
      </c>
      <c r="I366">
        <f t="shared" si="84"/>
        <v>593.35350038000001</v>
      </c>
      <c r="J366" s="4">
        <f t="shared" si="71"/>
        <v>565.30290468709688</v>
      </c>
      <c r="K366">
        <f t="shared" si="76"/>
        <v>-8.9380760826572006E-4</v>
      </c>
      <c r="L366">
        <f t="shared" si="79"/>
        <v>2.3560987399118518E-4</v>
      </c>
      <c r="M366" s="3">
        <f t="shared" si="72"/>
        <v>1.0688858165901277E-3</v>
      </c>
      <c r="N366" t="str">
        <f t="shared" ca="1" si="73"/>
        <v>wait</v>
      </c>
      <c r="O366">
        <f t="shared" si="80"/>
        <v>-9.5507399807115423E-4</v>
      </c>
      <c r="P366">
        <f t="shared" si="81"/>
        <v>-6.6125972943056333E-3</v>
      </c>
      <c r="Q366">
        <f t="shared" si="82"/>
        <v>-9.1418572996104785E-3</v>
      </c>
      <c r="R366">
        <f t="shared" si="77"/>
        <v>-6.0125320664610182E-3</v>
      </c>
      <c r="S366" s="3">
        <f t="shared" si="83"/>
        <v>4.9620469769971427E-2</v>
      </c>
      <c r="T366" s="3">
        <f t="shared" si="74"/>
        <v>-3.157496124401582E-4</v>
      </c>
      <c r="V366" t="str">
        <f t="shared" si="75"/>
        <v>11-1</v>
      </c>
    </row>
    <row r="367" spans="1:22">
      <c r="A367" s="1">
        <v>45825</v>
      </c>
      <c r="B367" t="s">
        <v>7</v>
      </c>
      <c r="C367">
        <v>600.21002199999998</v>
      </c>
      <c r="D367">
        <v>601.75</v>
      </c>
      <c r="E367">
        <v>596.76000980000003</v>
      </c>
      <c r="F367">
        <v>597.53002930000002</v>
      </c>
      <c r="G367">
        <v>82209400</v>
      </c>
      <c r="H367">
        <f t="shared" si="78"/>
        <v>601.57399903999999</v>
      </c>
      <c r="I367">
        <f t="shared" si="84"/>
        <v>593.77749940499984</v>
      </c>
      <c r="J367" s="4">
        <f t="shared" si="71"/>
        <v>565.97483973870987</v>
      </c>
      <c r="K367">
        <f t="shared" si="76"/>
        <v>-1.3266047246054792E-4</v>
      </c>
      <c r="L367">
        <f t="shared" si="79"/>
        <v>6.5815057755547158E-4</v>
      </c>
      <c r="M367" s="3">
        <f t="shared" si="72"/>
        <v>1.0447336440454055E-3</v>
      </c>
      <c r="N367" t="str">
        <f t="shared" ca="1" si="73"/>
        <v>wait</v>
      </c>
      <c r="O367">
        <f t="shared" si="80"/>
        <v>-2.267347063165448E-3</v>
      </c>
      <c r="P367">
        <f t="shared" si="81"/>
        <v>1.8384997718732254E-3</v>
      </c>
      <c r="Q367">
        <f t="shared" si="82"/>
        <v>-2.2508092805886282E-3</v>
      </c>
      <c r="R367">
        <f t="shared" si="77"/>
        <v>6.8910480190218504E-3</v>
      </c>
      <c r="S367" s="3">
        <f t="shared" si="83"/>
        <v>4.9123490505559315E-2</v>
      </c>
      <c r="T367" s="3">
        <f t="shared" si="74"/>
        <v>-4.9697926441211182E-4</v>
      </c>
      <c r="V367" t="str">
        <f t="shared" si="75"/>
        <v>11-1</v>
      </c>
    </row>
    <row r="368" spans="1:22">
      <c r="A368" s="1">
        <v>45826</v>
      </c>
      <c r="B368" t="s">
        <v>7</v>
      </c>
      <c r="C368">
        <v>598.44000240000003</v>
      </c>
      <c r="D368">
        <v>601.21997069999998</v>
      </c>
      <c r="E368">
        <v>596.46997069999998</v>
      </c>
      <c r="F368">
        <v>597.44000240000003</v>
      </c>
      <c r="G368">
        <v>76605000</v>
      </c>
      <c r="H368">
        <f t="shared" si="78"/>
        <v>600.46400147999998</v>
      </c>
      <c r="I368">
        <f t="shared" si="84"/>
        <v>593.91150208999989</v>
      </c>
      <c r="J368" s="4">
        <f t="shared" si="71"/>
        <v>566.46516271290341</v>
      </c>
      <c r="K368">
        <f t="shared" si="76"/>
        <v>-1.2737648639699478E-3</v>
      </c>
      <c r="L368">
        <f t="shared" si="79"/>
        <v>3.9470809586046899E-4</v>
      </c>
      <c r="M368" s="3">
        <f t="shared" si="72"/>
        <v>9.4431494972670464E-4</v>
      </c>
      <c r="N368" t="str">
        <f t="shared" ca="1" si="73"/>
        <v>wait</v>
      </c>
      <c r="O368">
        <f t="shared" si="80"/>
        <v>-3.370725097609939E-3</v>
      </c>
      <c r="P368">
        <f t="shared" si="81"/>
        <v>-4.8861749792966647E-3</v>
      </c>
      <c r="Q368">
        <f t="shared" si="82"/>
        <v>-6.1685491068081966E-3</v>
      </c>
      <c r="R368">
        <f t="shared" si="77"/>
        <v>-3.9177398262195684E-3</v>
      </c>
      <c r="S368" s="3">
        <f t="shared" si="83"/>
        <v>4.8451945827791124E-2</v>
      </c>
      <c r="T368" s="3">
        <f t="shared" si="74"/>
        <v>-6.7154467776819188E-4</v>
      </c>
      <c r="V368" t="str">
        <f t="shared" si="75"/>
        <v>11-1</v>
      </c>
    </row>
    <row r="369" spans="1:22">
      <c r="A369" s="1">
        <v>45828</v>
      </c>
      <c r="B369" t="s">
        <v>7</v>
      </c>
      <c r="C369">
        <v>598.38000490000002</v>
      </c>
      <c r="D369">
        <v>599.46002199999998</v>
      </c>
      <c r="E369">
        <v>592.85998540000003</v>
      </c>
      <c r="F369">
        <v>594.28002930000002</v>
      </c>
      <c r="G369">
        <v>94051400</v>
      </c>
      <c r="H369">
        <f t="shared" si="78"/>
        <v>599.68000488000007</v>
      </c>
      <c r="I369">
        <f t="shared" si="84"/>
        <v>594.14100342999996</v>
      </c>
      <c r="J369" s="4">
        <f t="shared" si="71"/>
        <v>566.98048549032274</v>
      </c>
      <c r="K369">
        <f t="shared" si="76"/>
        <v>-2.0902683561076522E-3</v>
      </c>
      <c r="L369">
        <f t="shared" si="79"/>
        <v>1.2507306527479453E-3</v>
      </c>
      <c r="M369" s="3">
        <f t="shared" si="72"/>
        <v>9.8880643098761003E-4</v>
      </c>
      <c r="N369" t="str">
        <f t="shared" ca="1" si="73"/>
        <v>wait</v>
      </c>
      <c r="O369">
        <f t="shared" si="80"/>
        <v>-2.1678227878553225E-3</v>
      </c>
      <c r="P369">
        <f t="shared" si="81"/>
        <v>-3.7353296120791191E-3</v>
      </c>
      <c r="Q369">
        <f t="shared" si="82"/>
        <v>-5.3529118094282069E-3</v>
      </c>
      <c r="R369">
        <f t="shared" si="77"/>
        <v>8.1563729737998969E-4</v>
      </c>
      <c r="S369" s="3">
        <f t="shared" si="83"/>
        <v>4.7903796752702871E-2</v>
      </c>
      <c r="T369" s="3">
        <f t="shared" si="74"/>
        <v>-5.4814907508825284E-4</v>
      </c>
      <c r="V369" t="str">
        <f t="shared" si="75"/>
        <v>11-1</v>
      </c>
    </row>
    <row r="370" spans="1:22">
      <c r="A370" s="1">
        <v>45831</v>
      </c>
      <c r="B370" t="s">
        <v>7</v>
      </c>
      <c r="C370">
        <v>595.03997800000002</v>
      </c>
      <c r="D370">
        <v>600.53997800000002</v>
      </c>
      <c r="E370">
        <v>591.89001459999997</v>
      </c>
      <c r="F370">
        <v>600.15002440000001</v>
      </c>
      <c r="G370">
        <v>87426000</v>
      </c>
      <c r="H370">
        <f t="shared" si="78"/>
        <v>597.78601073999994</v>
      </c>
      <c r="I370">
        <f t="shared" si="84"/>
        <v>594.71200562499996</v>
      </c>
      <c r="J370" s="4">
        <f t="shared" si="71"/>
        <v>567.46919595483894</v>
      </c>
      <c r="K370">
        <f t="shared" si="76"/>
        <v>-9.1121296482411253E-4</v>
      </c>
      <c r="L370">
        <f t="shared" si="79"/>
        <v>9.5954328523604744E-4</v>
      </c>
      <c r="M370" s="3">
        <f t="shared" si="72"/>
        <v>5.8644589599319988E-4</v>
      </c>
      <c r="N370" t="str">
        <f t="shared" ca="1" si="73"/>
        <v>wait</v>
      </c>
      <c r="O370">
        <f t="shared" si="80"/>
        <v>-4.5936718000486598E-3</v>
      </c>
      <c r="P370">
        <f t="shared" si="81"/>
        <v>-5.8649439381491808E-3</v>
      </c>
      <c r="Q370">
        <f t="shared" si="82"/>
        <v>-8.2404493439081072E-3</v>
      </c>
      <c r="R370">
        <f t="shared" si="77"/>
        <v>-2.8875375344799004E-3</v>
      </c>
      <c r="S370" s="3">
        <f t="shared" si="83"/>
        <v>4.8007556823100393E-2</v>
      </c>
      <c r="T370" s="3">
        <f t="shared" si="74"/>
        <v>1.037600703975225E-4</v>
      </c>
      <c r="V370" t="str">
        <f t="shared" si="75"/>
        <v>111</v>
      </c>
    </row>
    <row r="371" spans="1:22">
      <c r="A371" s="1">
        <v>45832</v>
      </c>
      <c r="B371" t="s">
        <v>7</v>
      </c>
      <c r="C371">
        <v>604.33001709999996</v>
      </c>
      <c r="D371">
        <v>607.84997559999999</v>
      </c>
      <c r="E371">
        <v>603.4099731</v>
      </c>
      <c r="F371">
        <v>606.78002930000002</v>
      </c>
      <c r="G371">
        <v>67735300</v>
      </c>
      <c r="H371">
        <f t="shared" si="78"/>
        <v>598.41601561999994</v>
      </c>
      <c r="I371">
        <f t="shared" si="84"/>
        <v>595.56500549999998</v>
      </c>
      <c r="J371" s="4">
        <f t="shared" si="71"/>
        <v>567.88967994354857</v>
      </c>
      <c r="K371">
        <f t="shared" si="76"/>
        <v>-8.3957268555264939E-4</v>
      </c>
      <c r="L371">
        <f t="shared" si="79"/>
        <v>1.8165840281157738E-3</v>
      </c>
      <c r="M371" s="3">
        <f t="shared" si="72"/>
        <v>7.1508015199707562E-4</v>
      </c>
      <c r="N371" t="str">
        <f t="shared" ca="1" si="73"/>
        <v>wait</v>
      </c>
      <c r="O371">
        <f t="shared" si="80"/>
        <v>9.8827593607646591E-3</v>
      </c>
      <c r="P371">
        <f t="shared" si="81"/>
        <v>2.8976643918920963E-3</v>
      </c>
      <c r="Q371">
        <f t="shared" si="82"/>
        <v>-1.090545849318314E-2</v>
      </c>
      <c r="R371">
        <f t="shared" si="77"/>
        <v>-2.6650091492750327E-3</v>
      </c>
      <c r="S371" s="3">
        <f t="shared" si="83"/>
        <v>4.8733630023356816E-2</v>
      </c>
      <c r="T371" s="3">
        <f t="shared" si="74"/>
        <v>7.2607320025642325E-4</v>
      </c>
      <c r="V371" t="str">
        <f t="shared" si="75"/>
        <v>111</v>
      </c>
    </row>
    <row r="372" spans="1:22">
      <c r="A372" s="1">
        <v>45833</v>
      </c>
      <c r="B372" t="s">
        <v>7</v>
      </c>
      <c r="C372">
        <v>607.9099731</v>
      </c>
      <c r="D372">
        <v>608.60998540000003</v>
      </c>
      <c r="E372">
        <v>605.53997800000002</v>
      </c>
      <c r="F372">
        <v>607.11999509999998</v>
      </c>
      <c r="G372">
        <v>62114800</v>
      </c>
      <c r="H372">
        <f t="shared" si="78"/>
        <v>599.23602294</v>
      </c>
      <c r="I372">
        <f t="shared" si="84"/>
        <v>596.94850769499999</v>
      </c>
      <c r="J372" s="4">
        <f t="shared" si="71"/>
        <v>568.39484135161274</v>
      </c>
      <c r="K372">
        <f t="shared" si="76"/>
        <v>3.0960787061484673E-3</v>
      </c>
      <c r="L372">
        <f t="shared" si="79"/>
        <v>1.3219998523948313E-3</v>
      </c>
      <c r="M372" s="3">
        <f t="shared" si="72"/>
        <v>1.1194358147121424E-3</v>
      </c>
      <c r="N372" t="str">
        <f t="shared" ca="1" si="73"/>
        <v>wait</v>
      </c>
      <c r="O372">
        <f t="shared" si="80"/>
        <v>1.4475014565118238E-2</v>
      </c>
      <c r="P372">
        <f t="shared" si="81"/>
        <v>1.2589373921459535E-2</v>
      </c>
      <c r="Q372">
        <f t="shared" si="82"/>
        <v>6.965452676762629E-3</v>
      </c>
      <c r="R372">
        <f t="shared" si="77"/>
        <v>1.7870911169945769E-2</v>
      </c>
      <c r="S372" s="3">
        <f t="shared" si="83"/>
        <v>5.0235618387190401E-2</v>
      </c>
      <c r="T372" s="3">
        <f t="shared" si="74"/>
        <v>1.501988363833584E-3</v>
      </c>
      <c r="V372" t="str">
        <f t="shared" si="75"/>
        <v>111</v>
      </c>
    </row>
    <row r="373" spans="1:22">
      <c r="A373" s="1">
        <v>45834</v>
      </c>
      <c r="B373" t="s">
        <v>7</v>
      </c>
      <c r="C373">
        <v>608.98999019999997</v>
      </c>
      <c r="D373">
        <v>612.30999759999997</v>
      </c>
      <c r="E373">
        <v>608.36999509999998</v>
      </c>
      <c r="F373">
        <v>611.86999509999998</v>
      </c>
      <c r="G373">
        <v>78548400</v>
      </c>
      <c r="H373">
        <f t="shared" si="78"/>
        <v>601.15401610000004</v>
      </c>
      <c r="I373">
        <f t="shared" si="84"/>
        <v>597.74700623000001</v>
      </c>
      <c r="J373" s="4">
        <f t="shared" si="71"/>
        <v>569.0162924516128</v>
      </c>
      <c r="K373">
        <f t="shared" si="76"/>
        <v>3.2404903123708063E-3</v>
      </c>
      <c r="L373">
        <f t="shared" si="79"/>
        <v>1.6495682748312659E-3</v>
      </c>
      <c r="M373" s="3">
        <f t="shared" si="72"/>
        <v>1.1767880132319815E-3</v>
      </c>
      <c r="N373" t="str">
        <f t="shared" ca="1" si="73"/>
        <v>wait</v>
      </c>
      <c r="O373">
        <f t="shared" si="80"/>
        <v>1.3034886052722294E-2</v>
      </c>
      <c r="P373">
        <f t="shared" si="81"/>
        <v>9.9242105021677407E-3</v>
      </c>
      <c r="Q373">
        <f t="shared" si="82"/>
        <v>7.2959038491566819E-3</v>
      </c>
      <c r="R373">
        <f t="shared" si="77"/>
        <v>3.3045117239405286E-4</v>
      </c>
      <c r="S373" s="3">
        <f t="shared" si="83"/>
        <v>5.0491900073020096E-2</v>
      </c>
      <c r="T373" s="3">
        <f t="shared" si="74"/>
        <v>2.5628168582969568E-4</v>
      </c>
      <c r="V373" t="str">
        <f t="shared" si="75"/>
        <v>111</v>
      </c>
    </row>
    <row r="374" spans="1:22">
      <c r="A374" s="1">
        <v>45835</v>
      </c>
      <c r="B374" t="s">
        <v>7</v>
      </c>
      <c r="C374">
        <v>612.88000490000002</v>
      </c>
      <c r="D374">
        <v>616.39001459999997</v>
      </c>
      <c r="E374">
        <v>610.83001709999996</v>
      </c>
      <c r="F374">
        <v>614.9099731</v>
      </c>
      <c r="G374">
        <v>86258400</v>
      </c>
      <c r="H374">
        <f t="shared" si="78"/>
        <v>604.04001463999998</v>
      </c>
      <c r="I374">
        <f t="shared" si="84"/>
        <v>598.95400696000002</v>
      </c>
      <c r="J374" s="4">
        <f t="shared" si="71"/>
        <v>569.73871145161286</v>
      </c>
      <c r="K374">
        <f t="shared" si="76"/>
        <v>5.9197566577221545E-3</v>
      </c>
      <c r="L374">
        <f t="shared" si="79"/>
        <v>1.8489965046313936E-3</v>
      </c>
      <c r="M374" s="3">
        <f t="shared" si="72"/>
        <v>1.6859837766853172E-3</v>
      </c>
      <c r="N374" t="str">
        <f t="shared" ca="1" si="73"/>
        <v>wait</v>
      </c>
      <c r="O374">
        <f t="shared" si="80"/>
        <v>1.4634775918394238E-2</v>
      </c>
      <c r="P374">
        <f t="shared" si="81"/>
        <v>1.2962685037789301E-2</v>
      </c>
      <c r="Q374">
        <f t="shared" si="82"/>
        <v>7.1683669211559664E-3</v>
      </c>
      <c r="R374">
        <f t="shared" si="77"/>
        <v>-1.2753692800071548E-4</v>
      </c>
      <c r="S374" s="3">
        <f t="shared" si="83"/>
        <v>5.1278410473374288E-2</v>
      </c>
      <c r="T374" s="3">
        <f t="shared" si="74"/>
        <v>7.8651040035419145E-4</v>
      </c>
      <c r="V374" t="str">
        <f t="shared" si="75"/>
        <v>111</v>
      </c>
    </row>
    <row r="375" spans="1:22">
      <c r="A375" s="1">
        <v>45838</v>
      </c>
      <c r="B375" t="s">
        <v>7</v>
      </c>
      <c r="C375">
        <v>617.38000490000002</v>
      </c>
      <c r="D375">
        <v>619.21997069999998</v>
      </c>
      <c r="E375">
        <v>615.03997800000002</v>
      </c>
      <c r="F375">
        <v>617.84997559999999</v>
      </c>
      <c r="G375">
        <v>92502500</v>
      </c>
      <c r="H375">
        <f t="shared" si="78"/>
        <v>608.16600339999991</v>
      </c>
      <c r="I375">
        <f t="shared" si="84"/>
        <v>600.197006225</v>
      </c>
      <c r="J375" s="4">
        <f t="shared" si="71"/>
        <v>570.69435661290345</v>
      </c>
      <c r="K375">
        <f t="shared" si="76"/>
        <v>4.9187530117177792E-3</v>
      </c>
      <c r="L375">
        <f t="shared" si="79"/>
        <v>2.1649466285342143E-3</v>
      </c>
      <c r="M375" s="3">
        <f t="shared" si="72"/>
        <v>1.654181550466788E-3</v>
      </c>
      <c r="N375" t="str">
        <f t="shared" ca="1" si="73"/>
        <v>wait</v>
      </c>
      <c r="O375">
        <f t="shared" si="80"/>
        <v>1.5150471168214885E-2</v>
      </c>
      <c r="P375">
        <f t="shared" si="81"/>
        <v>1.108902776922327E-2</v>
      </c>
      <c r="Q375">
        <f t="shared" si="82"/>
        <v>4.380405489795125E-3</v>
      </c>
      <c r="R375">
        <f t="shared" si="77"/>
        <v>-2.7879614313608414E-3</v>
      </c>
      <c r="S375" s="3">
        <f t="shared" si="83"/>
        <v>5.1696059844004931E-2</v>
      </c>
      <c r="T375" s="3">
        <f t="shared" si="74"/>
        <v>4.1764937063064334E-4</v>
      </c>
      <c r="V375" t="str">
        <f t="shared" si="75"/>
        <v>111</v>
      </c>
    </row>
    <row r="376" spans="1:22">
      <c r="A376" s="1">
        <v>45839</v>
      </c>
      <c r="B376" t="s">
        <v>7</v>
      </c>
      <c r="C376">
        <v>616.35998540000003</v>
      </c>
      <c r="D376">
        <v>618.83001709999996</v>
      </c>
      <c r="E376">
        <v>615.52001949999999</v>
      </c>
      <c r="F376">
        <v>617.65002440000001</v>
      </c>
      <c r="G376">
        <v>70030100</v>
      </c>
      <c r="H376">
        <f t="shared" si="78"/>
        <v>611.70599363999997</v>
      </c>
      <c r="I376">
        <f t="shared" si="84"/>
        <v>601.62000427499993</v>
      </c>
      <c r="J376" s="4">
        <f t="shared" si="71"/>
        <v>571.6372592096775</v>
      </c>
      <c r="K376">
        <f t="shared" si="76"/>
        <v>3.6487510351224306E-3</v>
      </c>
      <c r="L376">
        <f t="shared" si="79"/>
        <v>2.1207633300318997E-3</v>
      </c>
      <c r="M376" s="3">
        <f t="shared" si="72"/>
        <v>1.6899301766255257E-3</v>
      </c>
      <c r="N376" t="str">
        <f t="shared" ca="1" si="73"/>
        <v>wait</v>
      </c>
      <c r="O376">
        <f t="shared" si="80"/>
        <v>7.6082167060456118E-3</v>
      </c>
      <c r="P376">
        <f t="shared" si="81"/>
        <v>1.0044011377818629E-2</v>
      </c>
      <c r="Q376">
        <f t="shared" si="82"/>
        <v>5.4503052032577326E-3</v>
      </c>
      <c r="R376">
        <f t="shared" si="77"/>
        <v>1.0698997134626076E-3</v>
      </c>
      <c r="S376" s="3">
        <f t="shared" si="83"/>
        <v>5.2450648697699241E-2</v>
      </c>
      <c r="T376" s="3">
        <f t="shared" si="74"/>
        <v>7.5458885369431017E-4</v>
      </c>
      <c r="V376" t="str">
        <f t="shared" si="75"/>
        <v>111</v>
      </c>
    </row>
    <row r="377" spans="1:22">
      <c r="A377" s="1">
        <v>45840</v>
      </c>
      <c r="B377" t="s">
        <v>7</v>
      </c>
      <c r="C377">
        <v>617.23999019999997</v>
      </c>
      <c r="D377">
        <v>620.48999019999997</v>
      </c>
      <c r="E377">
        <v>616.60998540000003</v>
      </c>
      <c r="F377">
        <v>620.45001219999995</v>
      </c>
      <c r="G377">
        <v>66510400</v>
      </c>
      <c r="H377">
        <f t="shared" si="78"/>
        <v>613.87999265999997</v>
      </c>
      <c r="I377">
        <f t="shared" si="84"/>
        <v>602.86700439500009</v>
      </c>
      <c r="J377" s="4">
        <f t="shared" si="71"/>
        <v>572.55145362419364</v>
      </c>
      <c r="K377">
        <f t="shared" si="76"/>
        <v>3.4688461539684919E-3</v>
      </c>
      <c r="L377">
        <f t="shared" si="79"/>
        <v>1.808451452553568E-3</v>
      </c>
      <c r="M377" s="3">
        <f t="shared" si="72"/>
        <v>1.5685893344419594E-3</v>
      </c>
      <c r="N377" t="str">
        <f t="shared" ca="1" si="73"/>
        <v>wait</v>
      </c>
      <c r="O377">
        <f t="shared" si="80"/>
        <v>5.4733784781628714E-3</v>
      </c>
      <c r="P377">
        <f t="shared" si="81"/>
        <v>6.1413171712343395E-3</v>
      </c>
      <c r="Q377">
        <f t="shared" si="82"/>
        <v>2.6715756493278509E-3</v>
      </c>
      <c r="R377">
        <f t="shared" si="77"/>
        <v>-2.7787295539298817E-3</v>
      </c>
      <c r="S377" s="3">
        <f t="shared" si="83"/>
        <v>5.294816837667958E-2</v>
      </c>
      <c r="T377" s="3">
        <f t="shared" si="74"/>
        <v>4.9751967898033905E-4</v>
      </c>
      <c r="V377" t="str">
        <f t="shared" si="75"/>
        <v>111</v>
      </c>
    </row>
    <row r="378" spans="1:22">
      <c r="A378" s="1">
        <v>45841</v>
      </c>
      <c r="B378" t="s">
        <v>7</v>
      </c>
      <c r="C378">
        <v>622.45001219999995</v>
      </c>
      <c r="D378">
        <v>626.28002930000002</v>
      </c>
      <c r="E378">
        <v>622.42999269999996</v>
      </c>
      <c r="F378">
        <v>625.3400269</v>
      </c>
      <c r="G378">
        <v>51065800</v>
      </c>
      <c r="H378">
        <f t="shared" si="78"/>
        <v>616.54599608000001</v>
      </c>
      <c r="I378">
        <f t="shared" si="84"/>
        <v>604.0850036600001</v>
      </c>
      <c r="J378" s="4">
        <f t="shared" si="71"/>
        <v>573.45355028064535</v>
      </c>
      <c r="K378">
        <f t="shared" si="76"/>
        <v>2.804522911308211E-3</v>
      </c>
      <c r="L378">
        <f t="shared" si="79"/>
        <v>2.0572902690218962E-3</v>
      </c>
      <c r="M378" s="3">
        <f t="shared" si="72"/>
        <v>2.6007700793812902E-3</v>
      </c>
      <c r="N378" t="str">
        <f t="shared" ca="1" si="73"/>
        <v>wait</v>
      </c>
      <c r="O378">
        <f t="shared" si="80"/>
        <v>9.5759540367428286E-3</v>
      </c>
      <c r="P378">
        <f t="shared" si="81"/>
        <v>6.3320760248573027E-3</v>
      </c>
      <c r="Q378">
        <f t="shared" si="82"/>
        <v>1.0378677407185677E-4</v>
      </c>
      <c r="R378">
        <f t="shared" si="77"/>
        <v>-2.5677888752559941E-3</v>
      </c>
      <c r="S378" s="3">
        <f t="shared" si="83"/>
        <v>5.3415753314917783E-2</v>
      </c>
      <c r="T378" s="3">
        <f t="shared" si="74"/>
        <v>4.6758493823820246E-4</v>
      </c>
      <c r="V378" t="str">
        <f t="shared" si="75"/>
        <v>111</v>
      </c>
    </row>
    <row r="379" spans="1:22">
      <c r="A379" s="1">
        <v>45845</v>
      </c>
      <c r="B379" t="s">
        <v>7</v>
      </c>
      <c r="C379">
        <v>623.35998540000003</v>
      </c>
      <c r="D379">
        <v>624.03002930000002</v>
      </c>
      <c r="E379">
        <v>617.86999509999998</v>
      </c>
      <c r="F379">
        <v>620.67999269999996</v>
      </c>
      <c r="G379">
        <v>74814500</v>
      </c>
      <c r="H379">
        <f t="shared" si="78"/>
        <v>619.24000244000001</v>
      </c>
      <c r="I379">
        <f t="shared" si="84"/>
        <v>605.55550536999988</v>
      </c>
      <c r="J379" s="4">
        <f t="shared" si="71"/>
        <v>574.88322793709688</v>
      </c>
      <c r="K379">
        <f t="shared" si="76"/>
        <v>3.392384009456878E-3</v>
      </c>
      <c r="L379">
        <f t="shared" si="79"/>
        <v>2.7223707751672212E-3</v>
      </c>
      <c r="M379" s="3">
        <f t="shared" si="72"/>
        <v>3.960181430267478E-3</v>
      </c>
      <c r="N379" t="str">
        <f t="shared" ca="1" si="73"/>
        <v>wait</v>
      </c>
      <c r="O379">
        <f t="shared" si="80"/>
        <v>6.6532894253696906E-3</v>
      </c>
      <c r="P379">
        <f t="shared" si="81"/>
        <v>9.8508242942381141E-3</v>
      </c>
      <c r="Q379">
        <f t="shared" si="82"/>
        <v>5.1514602535855936E-3</v>
      </c>
      <c r="R379">
        <f t="shared" si="77"/>
        <v>5.0476734795137368E-3</v>
      </c>
      <c r="S379" s="3">
        <f t="shared" si="83"/>
        <v>5.3353926401657224E-2</v>
      </c>
      <c r="T379" s="3">
        <f t="shared" si="74"/>
        <v>-6.1826913260558392E-5</v>
      </c>
      <c r="V379" t="str">
        <f t="shared" si="75"/>
        <v>11-1</v>
      </c>
    </row>
    <row r="380" spans="1:22">
      <c r="A380" s="1">
        <v>45846</v>
      </c>
      <c r="B380" t="s">
        <v>7</v>
      </c>
      <c r="C380">
        <v>621.34997559999999</v>
      </c>
      <c r="D380">
        <v>622.10998540000003</v>
      </c>
      <c r="E380">
        <v>619.52001949999999</v>
      </c>
      <c r="F380">
        <v>620.3400269</v>
      </c>
      <c r="G380">
        <v>59024600</v>
      </c>
      <c r="H380">
        <f t="shared" si="78"/>
        <v>620.39400635999993</v>
      </c>
      <c r="I380">
        <f t="shared" si="84"/>
        <v>606.93700561499998</v>
      </c>
      <c r="J380" s="4">
        <f t="shared" si="71"/>
        <v>576.74451816129033</v>
      </c>
      <c r="K380">
        <f t="shared" si="76"/>
        <v>9.1608552618350667E-4</v>
      </c>
      <c r="L380">
        <f t="shared" si="79"/>
        <v>1.7975746549310835E-3</v>
      </c>
      <c r="M380" s="3">
        <f t="shared" si="72"/>
        <v>3.8430015289450245E-3</v>
      </c>
      <c r="N380" t="str">
        <f t="shared" ca="1" si="73"/>
        <v>wait</v>
      </c>
      <c r="O380">
        <f t="shared" si="80"/>
        <v>1.5409066338485378E-3</v>
      </c>
      <c r="P380">
        <f t="shared" si="81"/>
        <v>4.6097534319833322E-4</v>
      </c>
      <c r="Q380">
        <f t="shared" si="82"/>
        <v>-4.0684004586196698E-3</v>
      </c>
      <c r="R380">
        <f t="shared" si="77"/>
        <v>-9.2198607122052634E-3</v>
      </c>
      <c r="S380" s="3">
        <f t="shared" si="83"/>
        <v>5.2349847294545282E-2</v>
      </c>
      <c r="T380" s="3">
        <f t="shared" si="74"/>
        <v>-1.0040791071119423E-3</v>
      </c>
      <c r="V380" t="str">
        <f t="shared" si="75"/>
        <v>11-1</v>
      </c>
    </row>
    <row r="381" spans="1:22">
      <c r="A381" s="1">
        <v>45847</v>
      </c>
      <c r="B381" t="s">
        <v>7</v>
      </c>
      <c r="C381">
        <v>622.77001949999999</v>
      </c>
      <c r="D381">
        <v>624.71997069999998</v>
      </c>
      <c r="E381">
        <v>620.9099731</v>
      </c>
      <c r="F381">
        <v>624.05999759999997</v>
      </c>
      <c r="G381">
        <v>66113300</v>
      </c>
      <c r="H381">
        <f t="shared" si="78"/>
        <v>620.89201661999982</v>
      </c>
      <c r="I381">
        <f t="shared" si="84"/>
        <v>607.9970062299999</v>
      </c>
      <c r="J381" s="4">
        <f t="shared" si="71"/>
        <v>578.61484109677417</v>
      </c>
      <c r="K381">
        <f t="shared" si="76"/>
        <v>8.7104424633128574E-4</v>
      </c>
      <c r="L381">
        <f t="shared" si="79"/>
        <v>1.7225882513588853E-3</v>
      </c>
      <c r="M381" s="3">
        <f t="shared" si="72"/>
        <v>4.1579389957218911E-3</v>
      </c>
      <c r="N381" t="str">
        <f t="shared" ca="1" si="73"/>
        <v>wait</v>
      </c>
      <c r="O381">
        <f t="shared" si="80"/>
        <v>3.0246851783077844E-3</v>
      </c>
      <c r="P381">
        <f t="shared" si="81"/>
        <v>-8.8902692452830223E-4</v>
      </c>
      <c r="Q381">
        <f t="shared" si="82"/>
        <v>-2.2097193767584011E-3</v>
      </c>
      <c r="R381">
        <f t="shared" si="77"/>
        <v>1.8586810818612687E-3</v>
      </c>
      <c r="S381" s="3">
        <f t="shared" si="83"/>
        <v>5.0780178879496658E-2</v>
      </c>
      <c r="T381" s="3">
        <f t="shared" si="74"/>
        <v>-1.5696684150486237E-3</v>
      </c>
      <c r="V381" t="str">
        <f t="shared" si="75"/>
        <v>11-1</v>
      </c>
    </row>
    <row r="382" spans="1:22">
      <c r="A382" s="1">
        <v>45848</v>
      </c>
      <c r="B382" t="s">
        <v>7</v>
      </c>
      <c r="C382">
        <v>624.20001219999995</v>
      </c>
      <c r="D382">
        <v>626.86999509999998</v>
      </c>
      <c r="E382">
        <v>623.01000980000003</v>
      </c>
      <c r="F382">
        <v>625.82000730000004</v>
      </c>
      <c r="G382">
        <v>57529000</v>
      </c>
      <c r="H382">
        <f t="shared" si="78"/>
        <v>622.17401125999993</v>
      </c>
      <c r="I382">
        <f t="shared" si="84"/>
        <v>609.21600647499974</v>
      </c>
      <c r="J382" s="4">
        <f t="shared" si="71"/>
        <v>580.67258281612908</v>
      </c>
      <c r="K382">
        <f t="shared" si="76"/>
        <v>1.1636667995862206E-3</v>
      </c>
      <c r="L382">
        <f t="shared" si="79"/>
        <v>1.7394027247731876E-3</v>
      </c>
      <c r="M382" s="3">
        <f t="shared" si="72"/>
        <v>2.2918110645435349E-3</v>
      </c>
      <c r="N382" t="str">
        <f t="shared" ca="1" si="73"/>
        <v>wait</v>
      </c>
      <c r="O382">
        <f t="shared" si="80"/>
        <v>3.2563252455644065E-3</v>
      </c>
      <c r="P382">
        <f t="shared" si="81"/>
        <v>3.031284344681362E-3</v>
      </c>
      <c r="Q382">
        <f t="shared" si="82"/>
        <v>-2.0316473159013304E-3</v>
      </c>
      <c r="R382">
        <f t="shared" si="77"/>
        <v>1.7807206085707072E-4</v>
      </c>
      <c r="S382" s="3">
        <f t="shared" si="83"/>
        <v>4.9155797093848645E-2</v>
      </c>
      <c r="T382" s="3">
        <f t="shared" si="74"/>
        <v>-1.6243817856480131E-3</v>
      </c>
      <c r="V382" t="str">
        <f t="shared" si="75"/>
        <v>11-1</v>
      </c>
    </row>
    <row r="383" spans="1:22">
      <c r="A383" s="1">
        <v>45849</v>
      </c>
      <c r="B383" t="s">
        <v>7</v>
      </c>
      <c r="C383">
        <v>622.73999019999997</v>
      </c>
      <c r="D383">
        <v>624.85998540000003</v>
      </c>
      <c r="E383">
        <v>621.53002930000002</v>
      </c>
      <c r="F383">
        <v>623.61999509999998</v>
      </c>
      <c r="G383">
        <v>63670200</v>
      </c>
      <c r="H383">
        <f t="shared" si="78"/>
        <v>623.24801028000002</v>
      </c>
      <c r="I383">
        <f t="shared" si="84"/>
        <v>610.35300598499987</v>
      </c>
      <c r="J383" s="4">
        <f t="shared" ref="J383:J446" si="85">AVERAGE(F321:F382)</f>
        <v>581.91774430322573</v>
      </c>
      <c r="K383">
        <f t="shared" si="76"/>
        <v>1.5351021183769516E-4</v>
      </c>
      <c r="L383">
        <f t="shared" si="79"/>
        <v>2.0337254301789143E-3</v>
      </c>
      <c r="M383" s="3">
        <f t="shared" si="72"/>
        <v>3.2165410709465649E-3</v>
      </c>
      <c r="N383" t="str">
        <f t="shared" ca="1" si="73"/>
        <v>wait</v>
      </c>
      <c r="O383">
        <f t="shared" si="80"/>
        <v>-8.1511705070957952E-4</v>
      </c>
      <c r="P383">
        <f t="shared" si="81"/>
        <v>4.1267633070252163E-3</v>
      </c>
      <c r="Q383">
        <f t="shared" si="82"/>
        <v>-3.8187122313160238E-4</v>
      </c>
      <c r="R383">
        <f t="shared" si="77"/>
        <v>1.649776092769728E-3</v>
      </c>
      <c r="S383" s="3">
        <f t="shared" si="83"/>
        <v>4.8864744132904613E-2</v>
      </c>
      <c r="T383" s="3">
        <f t="shared" si="74"/>
        <v>-2.9105296094403266E-4</v>
      </c>
      <c r="V383" t="str">
        <f t="shared" si="75"/>
        <v>11-1</v>
      </c>
    </row>
    <row r="384" spans="1:22">
      <c r="A384" s="1">
        <v>45852</v>
      </c>
      <c r="B384" t="s">
        <v>7</v>
      </c>
      <c r="C384">
        <v>623.1599731</v>
      </c>
      <c r="D384">
        <v>625.1599731</v>
      </c>
      <c r="E384">
        <v>621.79998780000005</v>
      </c>
      <c r="F384">
        <v>624.80999759999997</v>
      </c>
      <c r="G384">
        <v>51898500</v>
      </c>
      <c r="H384">
        <f t="shared" si="78"/>
        <v>622.90400391999992</v>
      </c>
      <c r="I384">
        <f t="shared" si="84"/>
        <v>611.46600646999991</v>
      </c>
      <c r="J384" s="4">
        <f t="shared" si="85"/>
        <v>583.51516330322579</v>
      </c>
      <c r="K384">
        <f t="shared" si="76"/>
        <v>9.4734885434628446E-4</v>
      </c>
      <c r="L384">
        <f t="shared" si="79"/>
        <v>1.6455482484472035E-3</v>
      </c>
      <c r="M384" s="3">
        <f t="shared" si="72"/>
        <v>2.7993155378537699E-3</v>
      </c>
      <c r="N384" t="str">
        <f t="shared" ca="1" si="73"/>
        <v>wait</v>
      </c>
      <c r="O384">
        <f t="shared" si="80"/>
        <v>4.1092877616644152E-4</v>
      </c>
      <c r="P384">
        <f t="shared" si="81"/>
        <v>1.1494406449377159E-3</v>
      </c>
      <c r="Q384">
        <f t="shared" si="82"/>
        <v>-2.2057566035108556E-3</v>
      </c>
      <c r="R384">
        <f t="shared" si="77"/>
        <v>-1.8238853803792532E-3</v>
      </c>
      <c r="S384" s="3">
        <f t="shared" si="83"/>
        <v>4.7900800055558045E-2</v>
      </c>
      <c r="T384" s="3">
        <f t="shared" si="74"/>
        <v>-9.6394407734656795E-4</v>
      </c>
      <c r="V384" t="str">
        <f t="shared" si="75"/>
        <v>11-1</v>
      </c>
    </row>
    <row r="385" spans="1:22">
      <c r="A385" s="1">
        <v>45853</v>
      </c>
      <c r="B385" t="s">
        <v>7</v>
      </c>
      <c r="C385">
        <v>627.52001949999999</v>
      </c>
      <c r="D385">
        <v>627.85998540000003</v>
      </c>
      <c r="E385">
        <v>622.05999759999997</v>
      </c>
      <c r="F385">
        <v>622.14001459999997</v>
      </c>
      <c r="G385">
        <v>74317300</v>
      </c>
      <c r="H385">
        <f t="shared" si="78"/>
        <v>623.73000489999993</v>
      </c>
      <c r="I385">
        <f t="shared" si="84"/>
        <v>612.51900634999981</v>
      </c>
      <c r="J385" s="4">
        <f t="shared" si="85"/>
        <v>584.98080838709677</v>
      </c>
      <c r="K385">
        <f t="shared" si="76"/>
        <v>1.4411356695254952E-3</v>
      </c>
      <c r="L385">
        <f t="shared" si="79"/>
        <v>2.3291455276381887E-3</v>
      </c>
      <c r="M385" s="3">
        <f t="shared" ref="M385:M448" si="86">(F384-F323)/F323/60</f>
        <v>2.6490701908921522E-3</v>
      </c>
      <c r="N385" t="str">
        <f t="shared" ref="N385:N448" ca="1" si="87">IF(AND((F384-H385) / H385&lt;= -0.0155, G384/ AVERAGE(OFFSET(G384,-19,0,20,1)) &gt;= 1.58), "buy", "wait")</f>
        <v>wait</v>
      </c>
      <c r="O385">
        <f t="shared" si="80"/>
        <v>6.0763704972117694E-3</v>
      </c>
      <c r="P385">
        <f t="shared" si="81"/>
        <v>1.7315067280965213E-3</v>
      </c>
      <c r="Q385">
        <f t="shared" si="82"/>
        <v>-3.0943149837874273E-3</v>
      </c>
      <c r="R385">
        <f t="shared" si="77"/>
        <v>-8.8855838027657175E-4</v>
      </c>
      <c r="S385" s="3">
        <f t="shared" si="83"/>
        <v>4.7075387035056905E-2</v>
      </c>
      <c r="T385" s="3">
        <f t="shared" si="74"/>
        <v>-8.2541302050113952E-4</v>
      </c>
      <c r="V385" t="str">
        <f t="shared" si="75"/>
        <v>11-1</v>
      </c>
    </row>
    <row r="386" spans="1:22">
      <c r="A386" s="1">
        <v>45854</v>
      </c>
      <c r="B386" t="s">
        <v>7</v>
      </c>
      <c r="C386">
        <v>623.73999019999997</v>
      </c>
      <c r="D386">
        <v>624.72998050000001</v>
      </c>
      <c r="E386">
        <v>618.04998780000005</v>
      </c>
      <c r="F386">
        <v>624.21997069999998</v>
      </c>
      <c r="G386">
        <v>88987500</v>
      </c>
      <c r="H386">
        <f t="shared" si="78"/>
        <v>624.09000244000003</v>
      </c>
      <c r="I386">
        <f t="shared" si="84"/>
        <v>613.77600707999989</v>
      </c>
      <c r="J386" s="4">
        <f t="shared" si="85"/>
        <v>586.31984095967744</v>
      </c>
      <c r="K386">
        <f t="shared" si="76"/>
        <v>-6.153200036483166E-4</v>
      </c>
      <c r="L386">
        <f t="shared" si="79"/>
        <v>1.6144572688417385E-3</v>
      </c>
      <c r="M386" s="3">
        <f t="shared" si="86"/>
        <v>2.620549949331352E-3</v>
      </c>
      <c r="N386" t="str">
        <f t="shared" ca="1" si="87"/>
        <v>wait</v>
      </c>
      <c r="O386">
        <f t="shared" si="80"/>
        <v>-5.6083615925850427E-4</v>
      </c>
      <c r="P386">
        <f t="shared" si="81"/>
        <v>-3.1245298472595273E-3</v>
      </c>
      <c r="Q386">
        <f t="shared" si="82"/>
        <v>-3.2527437261666847E-3</v>
      </c>
      <c r="R386">
        <f t="shared" si="77"/>
        <v>-1.5842874237925741E-4</v>
      </c>
      <c r="S386" s="3">
        <f t="shared" si="83"/>
        <v>4.6827966925667583E-2</v>
      </c>
      <c r="T386" s="3">
        <f t="shared" ref="T386:T449" si="88">S386-S385</f>
        <v>-2.4742010938932218E-4</v>
      </c>
      <c r="V386" t="str">
        <f t="shared" ref="V386:V449" si="89">SIGN(M386)&amp;SIGN(S386)&amp;SIGN(T386)</f>
        <v>11-1</v>
      </c>
    </row>
    <row r="387" spans="1:22">
      <c r="A387" s="1">
        <v>45855</v>
      </c>
      <c r="B387" t="s">
        <v>7</v>
      </c>
      <c r="C387">
        <v>624.40002440000001</v>
      </c>
      <c r="D387">
        <v>628.40002440000001</v>
      </c>
      <c r="E387">
        <v>624.17999269999996</v>
      </c>
      <c r="F387">
        <v>628.03997800000002</v>
      </c>
      <c r="G387">
        <v>68885700</v>
      </c>
      <c r="H387">
        <f t="shared" si="78"/>
        <v>624.12199706000001</v>
      </c>
      <c r="I387">
        <f t="shared" si="84"/>
        <v>614.85300597999992</v>
      </c>
      <c r="J387" s="4">
        <f t="shared" si="85"/>
        <v>587.71677620645175</v>
      </c>
      <c r="K387">
        <f t="shared" si="76"/>
        <v>-5.1134082686271653E-4</v>
      </c>
      <c r="L387">
        <f t="shared" si="79"/>
        <v>2.2333556550510883E-3</v>
      </c>
      <c r="M387" s="3">
        <f t="shared" si="86"/>
        <v>3.1249604511054715E-3</v>
      </c>
      <c r="N387" t="str">
        <f t="shared" ca="1" si="87"/>
        <v>wait</v>
      </c>
      <c r="O387">
        <f t="shared" si="80"/>
        <v>4.4546954170776587E-4</v>
      </c>
      <c r="P387">
        <f t="shared" si="81"/>
        <v>1.5697834792161025E-4</v>
      </c>
      <c r="Q387">
        <f t="shared" si="82"/>
        <v>-9.7288819951913963E-3</v>
      </c>
      <c r="R387">
        <f t="shared" si="77"/>
        <v>-6.4761382690247116E-3</v>
      </c>
      <c r="S387" s="3">
        <f t="shared" si="83"/>
        <v>4.6172290586470884E-2</v>
      </c>
      <c r="T387" s="3">
        <f t="shared" si="88"/>
        <v>-6.5567633919669938E-4</v>
      </c>
      <c r="V387" t="str">
        <f t="shared" si="89"/>
        <v>11-1</v>
      </c>
    </row>
    <row r="388" spans="1:22">
      <c r="A388" s="1">
        <v>45856</v>
      </c>
      <c r="B388" t="s">
        <v>7</v>
      </c>
      <c r="C388">
        <v>629.29998780000005</v>
      </c>
      <c r="D388">
        <v>629.46997069999998</v>
      </c>
      <c r="E388">
        <v>626.46002199999998</v>
      </c>
      <c r="F388">
        <v>627.58001709999996</v>
      </c>
      <c r="G388">
        <v>65621600</v>
      </c>
      <c r="H388">
        <f t="shared" si="78"/>
        <v>624.56599119999987</v>
      </c>
      <c r="I388">
        <f t="shared" si="84"/>
        <v>616.37850341500007</v>
      </c>
      <c r="J388" s="4">
        <f t="shared" si="85"/>
        <v>589.36806660806462</v>
      </c>
      <c r="K388">
        <f t="shared" si="76"/>
        <v>1.4175244330616034E-3</v>
      </c>
      <c r="L388">
        <f t="shared" si="79"/>
        <v>2.560924567912729E-3</v>
      </c>
      <c r="M388" s="3">
        <f t="shared" si="86"/>
        <v>3.2177076832817326E-3</v>
      </c>
      <c r="N388" t="str">
        <f t="shared" ca="1" si="87"/>
        <v>wait</v>
      </c>
      <c r="O388">
        <f t="shared" si="80"/>
        <v>7.5796579812239528E-3</v>
      </c>
      <c r="P388">
        <f t="shared" si="81"/>
        <v>5.5622413787299596E-3</v>
      </c>
      <c r="Q388">
        <f t="shared" si="82"/>
        <v>-6.1802676648836652E-4</v>
      </c>
      <c r="R388">
        <f t="shared" si="77"/>
        <v>9.1108552287030298E-3</v>
      </c>
      <c r="S388" s="3">
        <f t="shared" si="83"/>
        <v>4.5829488120023382E-2</v>
      </c>
      <c r="T388" s="3">
        <f t="shared" si="88"/>
        <v>-3.4280246644750184E-4</v>
      </c>
      <c r="V388" t="str">
        <f t="shared" si="89"/>
        <v>11-1</v>
      </c>
    </row>
    <row r="389" spans="1:22">
      <c r="A389" s="1">
        <v>45859</v>
      </c>
      <c r="B389" t="s">
        <v>7</v>
      </c>
      <c r="C389">
        <v>628.77001949999999</v>
      </c>
      <c r="D389">
        <v>631.53997800000002</v>
      </c>
      <c r="E389">
        <v>628.3400269</v>
      </c>
      <c r="F389">
        <v>628.77001949999999</v>
      </c>
      <c r="G389">
        <v>63375000</v>
      </c>
      <c r="H389">
        <f t="shared" si="78"/>
        <v>625.35799559999998</v>
      </c>
      <c r="I389">
        <f t="shared" si="84"/>
        <v>617.88550414999997</v>
      </c>
      <c r="J389" s="4">
        <f t="shared" si="85"/>
        <v>590.99984151129058</v>
      </c>
      <c r="K389">
        <f t="shared" si="76"/>
        <v>8.8667579284585686E-4</v>
      </c>
      <c r="L389">
        <f t="shared" si="79"/>
        <v>2.8017084672375629E-3</v>
      </c>
      <c r="M389" s="3">
        <f t="shared" si="86"/>
        <v>3.6876317141432569E-3</v>
      </c>
      <c r="N389" t="str">
        <f t="shared" ca="1" si="87"/>
        <v>wait</v>
      </c>
      <c r="O389">
        <f t="shared" si="80"/>
        <v>5.456113016874875E-3</v>
      </c>
      <c r="P389">
        <f t="shared" si="81"/>
        <v>3.553199152539932E-3</v>
      </c>
      <c r="Q389">
        <f t="shared" si="82"/>
        <v>1.76223284543231E-3</v>
      </c>
      <c r="R389">
        <f t="shared" si="77"/>
        <v>2.3802596119206765E-3</v>
      </c>
      <c r="S389" s="3">
        <f t="shared" si="83"/>
        <v>4.5491827155076763E-2</v>
      </c>
      <c r="T389" s="3">
        <f t="shared" si="88"/>
        <v>-3.3766096494661918E-4</v>
      </c>
      <c r="V389" t="str">
        <f t="shared" si="89"/>
        <v>11-1</v>
      </c>
    </row>
    <row r="390" spans="1:22">
      <c r="A390" s="1">
        <v>45860</v>
      </c>
      <c r="B390" t="s">
        <v>7</v>
      </c>
      <c r="C390">
        <v>629.09997559999999</v>
      </c>
      <c r="D390">
        <v>629.72998050000001</v>
      </c>
      <c r="E390">
        <v>626.19000240000003</v>
      </c>
      <c r="F390">
        <v>628.85998540000003</v>
      </c>
      <c r="G390">
        <v>60046300</v>
      </c>
      <c r="H390">
        <f t="shared" si="78"/>
        <v>626.14999998000008</v>
      </c>
      <c r="I390">
        <f t="shared" si="84"/>
        <v>619.61000365999996</v>
      </c>
      <c r="J390" s="4">
        <f t="shared" si="85"/>
        <v>592.85290626290328</v>
      </c>
      <c r="K390">
        <f t="shared" si="76"/>
        <v>2.1313545968467329E-3</v>
      </c>
      <c r="L390">
        <f t="shared" si="79"/>
        <v>2.3844033938524639E-3</v>
      </c>
      <c r="M390" s="3">
        <f t="shared" si="86"/>
        <v>3.2091044570886676E-3</v>
      </c>
      <c r="N390" t="str">
        <f t="shared" ca="1" si="87"/>
        <v>wait</v>
      </c>
      <c r="O390">
        <f t="shared" si="80"/>
        <v>4.7112922144760816E-3</v>
      </c>
      <c r="P390">
        <f t="shared" si="81"/>
        <v>4.184332061141216E-3</v>
      </c>
      <c r="Q390">
        <f t="shared" si="82"/>
        <v>3.4976074743588992E-3</v>
      </c>
      <c r="R390">
        <f t="shared" si="77"/>
        <v>1.7353746289265892E-3</v>
      </c>
      <c r="S390" s="3">
        <f t="shared" si="83"/>
        <v>4.5132775962527086E-2</v>
      </c>
      <c r="T390" s="3">
        <f t="shared" si="88"/>
        <v>-3.5905119254967671E-4</v>
      </c>
      <c r="V390" t="str">
        <f t="shared" si="89"/>
        <v>11-1</v>
      </c>
    </row>
    <row r="391" spans="1:22">
      <c r="A391" s="1">
        <v>45861</v>
      </c>
      <c r="B391" t="s">
        <v>7</v>
      </c>
      <c r="C391">
        <v>631.54998780000005</v>
      </c>
      <c r="D391">
        <v>634.21002199999998</v>
      </c>
      <c r="E391">
        <v>629.72998050000001</v>
      </c>
      <c r="F391">
        <v>634.21002199999998</v>
      </c>
      <c r="G391">
        <v>70511000</v>
      </c>
      <c r="H391">
        <f t="shared" si="78"/>
        <v>627.49399413999993</v>
      </c>
      <c r="I391">
        <f t="shared" si="84"/>
        <v>621.04550171000005</v>
      </c>
      <c r="J391" s="4">
        <f t="shared" si="85"/>
        <v>594.49177699516133</v>
      </c>
      <c r="K391">
        <f t="shared" si="76"/>
        <v>1.4866601255313062E-3</v>
      </c>
      <c r="L391">
        <f t="shared" si="79"/>
        <v>1.8194366190225572E-3</v>
      </c>
      <c r="M391" s="3">
        <f t="shared" si="86"/>
        <v>2.9086201948702048E-3</v>
      </c>
      <c r="N391" t="str">
        <f t="shared" ca="1" si="87"/>
        <v>wait</v>
      </c>
      <c r="O391">
        <f t="shared" si="80"/>
        <v>6.4637967819261011E-3</v>
      </c>
      <c r="P391">
        <f t="shared" si="81"/>
        <v>2.1768993372952572E-3</v>
      </c>
      <c r="Q391">
        <f t="shared" si="82"/>
        <v>-2.0780943756872894E-3</v>
      </c>
      <c r="R391">
        <f t="shared" si="77"/>
        <v>-5.5757018500461886E-3</v>
      </c>
      <c r="S391" s="3">
        <f t="shared" si="83"/>
        <v>4.4666260732913125E-2</v>
      </c>
      <c r="T391" s="3">
        <f t="shared" si="88"/>
        <v>-4.6651522961396047E-4</v>
      </c>
      <c r="V391" t="str">
        <f t="shared" si="89"/>
        <v>11-1</v>
      </c>
    </row>
    <row r="392" spans="1:22">
      <c r="A392" s="1">
        <v>45862</v>
      </c>
      <c r="B392" t="s">
        <v>7</v>
      </c>
      <c r="C392">
        <v>634.59997559999999</v>
      </c>
      <c r="D392">
        <v>636.15002440000001</v>
      </c>
      <c r="E392">
        <v>633.98999019999997</v>
      </c>
      <c r="F392">
        <v>634.41998290000004</v>
      </c>
      <c r="G392">
        <v>71307100</v>
      </c>
      <c r="H392">
        <f t="shared" si="78"/>
        <v>629.49200440000004</v>
      </c>
      <c r="I392">
        <f t="shared" si="84"/>
        <v>622.41700134500002</v>
      </c>
      <c r="J392" s="4">
        <f t="shared" si="85"/>
        <v>596.08516472258066</v>
      </c>
      <c r="K392">
        <f t="shared" ref="K392:K455" si="90">(F391-F387)/F387/5</f>
        <v>1.9648570843048977E-3</v>
      </c>
      <c r="L392">
        <f t="shared" si="79"/>
        <v>2.2310274013902262E-3</v>
      </c>
      <c r="M392" s="3">
        <f t="shared" si="86"/>
        <v>2.6681793830684703E-3</v>
      </c>
      <c r="N392" t="str">
        <f t="shared" ca="1" si="87"/>
        <v>wait</v>
      </c>
      <c r="O392">
        <f t="shared" si="80"/>
        <v>8.1144338042364872E-3</v>
      </c>
      <c r="P392">
        <f t="shared" si="81"/>
        <v>7.494960328363387E-3</v>
      </c>
      <c r="Q392">
        <f t="shared" si="82"/>
        <v>3.7804467465285541E-4</v>
      </c>
      <c r="R392">
        <f t="shared" si="77"/>
        <v>2.4561390503401448E-3</v>
      </c>
      <c r="S392" s="3">
        <f t="shared" si="83"/>
        <v>4.4174621649364906E-2</v>
      </c>
      <c r="T392" s="3">
        <f t="shared" si="88"/>
        <v>-4.91639083548219E-4</v>
      </c>
      <c r="V392" t="str">
        <f t="shared" si="89"/>
        <v>11-1</v>
      </c>
    </row>
    <row r="393" spans="1:22">
      <c r="A393" s="1">
        <v>45863</v>
      </c>
      <c r="B393" t="s">
        <v>7</v>
      </c>
      <c r="C393">
        <v>635.0900269</v>
      </c>
      <c r="D393">
        <v>637.58001709999996</v>
      </c>
      <c r="E393">
        <v>634.8400269</v>
      </c>
      <c r="F393">
        <v>637.09997559999999</v>
      </c>
      <c r="G393">
        <v>56865400</v>
      </c>
      <c r="H393">
        <f t="shared" si="78"/>
        <v>630.76800537999986</v>
      </c>
      <c r="I393">
        <f t="shared" si="84"/>
        <v>623.782000735</v>
      </c>
      <c r="J393" s="4">
        <f t="shared" si="85"/>
        <v>597.50016440806473</v>
      </c>
      <c r="K393">
        <f t="shared" si="90"/>
        <v>2.1797908198565785E-3</v>
      </c>
      <c r="L393">
        <f t="shared" si="79"/>
        <v>1.842710704936155E-3</v>
      </c>
      <c r="M393" s="3">
        <f t="shared" si="86"/>
        <v>2.5358360598154777E-3</v>
      </c>
      <c r="N393" t="str">
        <f t="shared" ca="1" si="87"/>
        <v>wait</v>
      </c>
      <c r="O393">
        <f t="shared" si="80"/>
        <v>6.85199864789654E-3</v>
      </c>
      <c r="P393">
        <f t="shared" si="81"/>
        <v>5.789731706192125E-3</v>
      </c>
      <c r="Q393">
        <f t="shared" si="82"/>
        <v>5.1080346379632768E-3</v>
      </c>
      <c r="R393">
        <f t="shared" ref="R393:R456" si="91">Q393-Q392</f>
        <v>4.7299899633104214E-3</v>
      </c>
      <c r="S393" s="3">
        <f t="shared" si="83"/>
        <v>4.3986324845571079E-2</v>
      </c>
      <c r="T393" s="3">
        <f t="shared" si="88"/>
        <v>-1.8829680379382763E-4</v>
      </c>
      <c r="V393" t="str">
        <f t="shared" si="89"/>
        <v>11-1</v>
      </c>
    </row>
    <row r="394" spans="1:22">
      <c r="A394" s="1">
        <v>45866</v>
      </c>
      <c r="B394" t="s">
        <v>7</v>
      </c>
      <c r="C394">
        <v>637.47998050000001</v>
      </c>
      <c r="D394">
        <v>638.03997800000002</v>
      </c>
      <c r="E394">
        <v>635.53997800000002</v>
      </c>
      <c r="F394">
        <v>636.94000240000003</v>
      </c>
      <c r="G394">
        <v>54917100</v>
      </c>
      <c r="H394">
        <f t="shared" si="78"/>
        <v>632.6719970800001</v>
      </c>
      <c r="I394">
        <f t="shared" si="84"/>
        <v>625.04349976000003</v>
      </c>
      <c r="J394" s="4">
        <f t="shared" si="85"/>
        <v>598.89467990806475</v>
      </c>
      <c r="K394">
        <f t="shared" si="90"/>
        <v>2.6496034612540887E-3</v>
      </c>
      <c r="L394">
        <f t="shared" si="79"/>
        <v>1.8043293710241493E-3</v>
      </c>
      <c r="M394" s="3">
        <f t="shared" si="86"/>
        <v>2.6096034558851307E-3</v>
      </c>
      <c r="N394" t="str">
        <f t="shared" ca="1" si="87"/>
        <v>wait</v>
      </c>
      <c r="O394">
        <f t="shared" si="80"/>
        <v>7.5994882691037269E-3</v>
      </c>
      <c r="P394">
        <f t="shared" si="81"/>
        <v>6.9988533401770248E-3</v>
      </c>
      <c r="Q394">
        <f t="shared" si="82"/>
        <v>3.4267832779166785E-3</v>
      </c>
      <c r="R394">
        <f t="shared" si="91"/>
        <v>-1.6812513600465984E-3</v>
      </c>
      <c r="S394" s="3">
        <f t="shared" si="83"/>
        <v>4.366180019490129E-2</v>
      </c>
      <c r="T394" s="3">
        <f t="shared" si="88"/>
        <v>-3.2452465066978853E-4</v>
      </c>
      <c r="V394" t="str">
        <f t="shared" si="89"/>
        <v>11-1</v>
      </c>
    </row>
    <row r="395" spans="1:22">
      <c r="A395" s="1">
        <v>45867</v>
      </c>
      <c r="B395" t="s">
        <v>7</v>
      </c>
      <c r="C395">
        <v>638.34997559999999</v>
      </c>
      <c r="D395">
        <v>638.66998290000004</v>
      </c>
      <c r="E395">
        <v>634.3400269</v>
      </c>
      <c r="F395">
        <v>635.26000980000003</v>
      </c>
      <c r="G395">
        <v>60556300</v>
      </c>
      <c r="H395">
        <f t="shared" si="78"/>
        <v>634.30599366000001</v>
      </c>
      <c r="I395">
        <f t="shared" si="84"/>
        <v>626.14500122499999</v>
      </c>
      <c r="J395" s="4">
        <f t="shared" si="85"/>
        <v>600.28322872741944</v>
      </c>
      <c r="K395">
        <f t="shared" si="90"/>
        <v>2.5697348177943068E-3</v>
      </c>
      <c r="L395">
        <f t="shared" si="79"/>
        <v>1.5448755809581061E-3</v>
      </c>
      <c r="M395" s="3">
        <f t="shared" si="86"/>
        <v>2.4841245132761294E-3</v>
      </c>
      <c r="N395" t="str">
        <f t="shared" ca="1" si="87"/>
        <v>wait</v>
      </c>
      <c r="O395">
        <f t="shared" si="80"/>
        <v>6.3754433671134869E-3</v>
      </c>
      <c r="P395">
        <f t="shared" si="81"/>
        <v>4.1525837156315415E-3</v>
      </c>
      <c r="Q395">
        <f t="shared" si="82"/>
        <v>1.945408607728627E-3</v>
      </c>
      <c r="R395">
        <f t="shared" si="91"/>
        <v>-1.4813746701880515E-3</v>
      </c>
      <c r="S395" s="3">
        <f t="shared" si="83"/>
        <v>4.3082617104606848E-2</v>
      </c>
      <c r="T395" s="3">
        <f t="shared" si="88"/>
        <v>-5.7918309029444254E-4</v>
      </c>
      <c r="V395" t="str">
        <f t="shared" si="89"/>
        <v>11-1</v>
      </c>
    </row>
    <row r="396" spans="1:22">
      <c r="A396" s="1">
        <v>45868</v>
      </c>
      <c r="B396" t="s">
        <v>7</v>
      </c>
      <c r="C396">
        <v>635.91998290000004</v>
      </c>
      <c r="D396">
        <v>637.67999269999996</v>
      </c>
      <c r="E396">
        <v>631.53997800000002</v>
      </c>
      <c r="F396">
        <v>634.46002199999998</v>
      </c>
      <c r="G396">
        <v>80418900</v>
      </c>
      <c r="H396">
        <f t="shared" si="78"/>
        <v>635.58599853999999</v>
      </c>
      <c r="I396">
        <f t="shared" si="84"/>
        <v>627.01550293500009</v>
      </c>
      <c r="J396" s="4">
        <f t="shared" si="85"/>
        <v>601.58871263870969</v>
      </c>
      <c r="K396">
        <f t="shared" si="90"/>
        <v>3.3111674794696121E-4</v>
      </c>
      <c r="L396">
        <f t="shared" si="79"/>
        <v>1.4255634019529741E-3</v>
      </c>
      <c r="M396" s="3">
        <f t="shared" si="86"/>
        <v>2.4260358435931077E-3</v>
      </c>
      <c r="N396" t="str">
        <f t="shared" ca="1" si="87"/>
        <v>wait</v>
      </c>
      <c r="O396">
        <f t="shared" si="80"/>
        <v>5.2547469699959493E-4</v>
      </c>
      <c r="P396">
        <f t="shared" si="81"/>
        <v>-5.1289477859606247E-4</v>
      </c>
      <c r="Q396">
        <f t="shared" si="82"/>
        <v>-1.960350987690318E-3</v>
      </c>
      <c r="R396">
        <f t="shared" si="91"/>
        <v>-3.905759595418945E-3</v>
      </c>
      <c r="S396" s="3">
        <f t="shared" si="83"/>
        <v>4.2266069429332385E-2</v>
      </c>
      <c r="T396" s="3">
        <f t="shared" si="88"/>
        <v>-8.1654767527446215E-4</v>
      </c>
      <c r="V396" t="str">
        <f t="shared" si="89"/>
        <v>11-1</v>
      </c>
    </row>
    <row r="397" spans="1:22">
      <c r="A397" s="1">
        <v>45869</v>
      </c>
      <c r="B397" t="s">
        <v>7</v>
      </c>
      <c r="C397">
        <v>639.46002199999998</v>
      </c>
      <c r="D397">
        <v>639.84997559999999</v>
      </c>
      <c r="E397">
        <v>630.77001949999999</v>
      </c>
      <c r="F397">
        <v>632.08001709999996</v>
      </c>
      <c r="G397">
        <v>103385200</v>
      </c>
      <c r="H397">
        <f t="shared" si="78"/>
        <v>635.63599854000006</v>
      </c>
      <c r="I397">
        <f t="shared" si="84"/>
        <v>627.85600281500001</v>
      </c>
      <c r="J397" s="4">
        <f t="shared" si="85"/>
        <v>602.87774560645164</v>
      </c>
      <c r="K397">
        <f t="shared" si="90"/>
        <v>1.2622269499432087E-5</v>
      </c>
      <c r="L397">
        <f t="shared" si="79"/>
        <v>1.1290200277636513E-3</v>
      </c>
      <c r="M397" s="3">
        <f t="shared" si="86"/>
        <v>2.2678047548600274E-3</v>
      </c>
      <c r="N397" t="str">
        <f t="shared" ca="1" si="87"/>
        <v>wait</v>
      </c>
      <c r="O397">
        <f t="shared" si="80"/>
        <v>6.0160586700301888E-3</v>
      </c>
      <c r="P397">
        <f t="shared" si="81"/>
        <v>-1.8500785712282086E-3</v>
      </c>
      <c r="Q397">
        <f t="shared" si="82"/>
        <v>-6.4439719421307551E-3</v>
      </c>
      <c r="R397">
        <f t="shared" si="91"/>
        <v>-4.4836209544404371E-3</v>
      </c>
      <c r="S397" s="3">
        <f t="shared" si="83"/>
        <v>4.1431712134973632E-2</v>
      </c>
      <c r="T397" s="3">
        <f t="shared" si="88"/>
        <v>-8.343572943587535E-4</v>
      </c>
      <c r="V397" t="str">
        <f t="shared" si="89"/>
        <v>11-1</v>
      </c>
    </row>
    <row r="398" spans="1:22">
      <c r="A398" s="1">
        <v>45870</v>
      </c>
      <c r="B398" t="s">
        <v>7</v>
      </c>
      <c r="C398">
        <v>626.29998780000005</v>
      </c>
      <c r="D398">
        <v>626.3400269</v>
      </c>
      <c r="E398">
        <v>619.28997800000002</v>
      </c>
      <c r="F398">
        <v>621.71997069999998</v>
      </c>
      <c r="G398">
        <v>140103600</v>
      </c>
      <c r="H398">
        <f t="shared" si="78"/>
        <v>635.16800538000007</v>
      </c>
      <c r="I398">
        <f t="shared" si="84"/>
        <v>628.43750306000004</v>
      </c>
      <c r="J398" s="4">
        <f t="shared" si="85"/>
        <v>604.06500441935486</v>
      </c>
      <c r="K398">
        <f t="shared" si="90"/>
        <v>-1.5758777875552095E-3</v>
      </c>
      <c r="L398">
        <f t="shared" si="79"/>
        <v>5.3890602792628999E-4</v>
      </c>
      <c r="M398" s="3">
        <f t="shared" si="86"/>
        <v>1.9208602750880467E-3</v>
      </c>
      <c r="N398" t="str">
        <f t="shared" ca="1" si="87"/>
        <v>wait</v>
      </c>
      <c r="O398">
        <f t="shared" si="80"/>
        <v>-1.3961688096513214E-2</v>
      </c>
      <c r="P398">
        <f t="shared" si="81"/>
        <v>-4.8616873863989163E-3</v>
      </c>
      <c r="Q398">
        <f t="shared" si="82"/>
        <v>-6.9241300612566947E-3</v>
      </c>
      <c r="R398">
        <f t="shared" si="91"/>
        <v>-4.8015811912593964E-4</v>
      </c>
      <c r="S398" s="3">
        <f t="shared" si="83"/>
        <v>4.0347476616482261E-2</v>
      </c>
      <c r="T398" s="3">
        <f t="shared" si="88"/>
        <v>-1.0842355184913707E-3</v>
      </c>
      <c r="V398" t="str">
        <f t="shared" si="89"/>
        <v>11-1</v>
      </c>
    </row>
    <row r="399" spans="1:22">
      <c r="A399" s="1">
        <v>45873</v>
      </c>
      <c r="B399" t="s">
        <v>7</v>
      </c>
      <c r="C399">
        <v>625.66998290000004</v>
      </c>
      <c r="D399">
        <v>631.21997069999998</v>
      </c>
      <c r="E399">
        <v>625.58001709999996</v>
      </c>
      <c r="F399">
        <v>631.16998290000004</v>
      </c>
      <c r="G399">
        <v>73218000</v>
      </c>
      <c r="H399">
        <f t="shared" si="78"/>
        <v>632.09200439999995</v>
      </c>
      <c r="I399">
        <f t="shared" si="84"/>
        <v>628.25650024999993</v>
      </c>
      <c r="J399" s="4">
        <f t="shared" si="85"/>
        <v>604.95145540161298</v>
      </c>
      <c r="K399">
        <f t="shared" si="90"/>
        <v>-4.7791100080543632E-3</v>
      </c>
      <c r="L399">
        <f t="shared" si="79"/>
        <v>8.377730974346736E-5</v>
      </c>
      <c r="M399" s="3">
        <f t="shared" si="86"/>
        <v>1.7216482371703186E-3</v>
      </c>
      <c r="N399" t="str">
        <f t="shared" ca="1" si="87"/>
        <v>buy</v>
      </c>
      <c r="O399">
        <f t="shared" si="80"/>
        <v>-1.015994737363568E-2</v>
      </c>
      <c r="P399">
        <f t="shared" si="81"/>
        <v>-1.6409056953418322E-2</v>
      </c>
      <c r="Q399">
        <f t="shared" si="82"/>
        <v>-2.0253422462054416E-2</v>
      </c>
      <c r="R399">
        <f t="shared" si="91"/>
        <v>-1.3329292400797721E-2</v>
      </c>
      <c r="S399" s="3">
        <f t="shared" si="83"/>
        <v>3.8523826400112197E-2</v>
      </c>
      <c r="T399" s="3">
        <f t="shared" si="88"/>
        <v>-1.8236502163700638E-3</v>
      </c>
      <c r="V399" t="str">
        <f t="shared" si="89"/>
        <v>11-1</v>
      </c>
    </row>
    <row r="400" spans="1:22">
      <c r="A400" s="1">
        <v>45874</v>
      </c>
      <c r="B400" t="s">
        <v>7</v>
      </c>
      <c r="C400">
        <v>631.78997800000002</v>
      </c>
      <c r="D400">
        <v>632.60998540000003</v>
      </c>
      <c r="E400">
        <v>627.03997800000002</v>
      </c>
      <c r="F400">
        <v>627.96997069999998</v>
      </c>
      <c r="G400">
        <v>68051400</v>
      </c>
      <c r="H400">
        <f t="shared" ref="H400:H463" si="92">AVERAGE(F395:F399)</f>
        <v>630.93800050000004</v>
      </c>
      <c r="I400">
        <f t="shared" si="84"/>
        <v>628.78099975999999</v>
      </c>
      <c r="J400" s="4">
        <f t="shared" si="85"/>
        <v>606.04274529032273</v>
      </c>
      <c r="K400">
        <f t="shared" si="90"/>
        <v>-1.287670193906167E-3</v>
      </c>
      <c r="L400">
        <f t="shared" si="79"/>
        <v>8.7290482077386953E-4</v>
      </c>
      <c r="M400" s="3">
        <f t="shared" si="86"/>
        <v>2.1584942937251791E-3</v>
      </c>
      <c r="N400" t="str">
        <f t="shared" ca="1" si="87"/>
        <v>wait</v>
      </c>
      <c r="O400">
        <f t="shared" si="80"/>
        <v>1.350334738634773E-3</v>
      </c>
      <c r="P400">
        <f t="shared" si="81"/>
        <v>3.676785988737663E-4</v>
      </c>
      <c r="Q400">
        <f t="shared" si="82"/>
        <v>-8.4920917677394625E-3</v>
      </c>
      <c r="R400">
        <f t="shared" si="91"/>
        <v>1.1761330694314953E-2</v>
      </c>
      <c r="S400" s="3">
        <f t="shared" si="83"/>
        <v>3.7519225576711709E-2</v>
      </c>
      <c r="T400" s="3">
        <f t="shared" si="88"/>
        <v>-1.004600823400488E-3</v>
      </c>
      <c r="V400" t="str">
        <f t="shared" si="89"/>
        <v>11-1</v>
      </c>
    </row>
    <row r="401" spans="1:22">
      <c r="A401" s="1">
        <v>45875</v>
      </c>
      <c r="B401" t="s">
        <v>7</v>
      </c>
      <c r="C401">
        <v>629.04998780000005</v>
      </c>
      <c r="D401">
        <v>633.44000240000003</v>
      </c>
      <c r="E401">
        <v>628.13000490000002</v>
      </c>
      <c r="F401">
        <v>632.78002930000002</v>
      </c>
      <c r="G401">
        <v>64357500</v>
      </c>
      <c r="H401">
        <f t="shared" si="92"/>
        <v>629.4799926799999</v>
      </c>
      <c r="I401">
        <f t="shared" si="84"/>
        <v>629.16249694999999</v>
      </c>
      <c r="J401" s="4">
        <f t="shared" si="85"/>
        <v>607.15839017580652</v>
      </c>
      <c r="K401">
        <f t="shared" si="90"/>
        <v>-2.0458503530424192E-3</v>
      </c>
      <c r="L401">
        <f t="shared" si="79"/>
        <v>3.1326900578765776E-4</v>
      </c>
      <c r="M401" s="3">
        <f t="shared" si="86"/>
        <v>1.9846132464440931E-3</v>
      </c>
      <c r="N401" t="str">
        <f t="shared" ca="1" si="87"/>
        <v>wait</v>
      </c>
      <c r="O401">
        <f t="shared" si="80"/>
        <v>-6.8311127438558383E-4</v>
      </c>
      <c r="P401">
        <f t="shared" si="81"/>
        <v>-2.3988403087619181E-3</v>
      </c>
      <c r="Q401">
        <f t="shared" si="82"/>
        <v>-3.876238654721309E-3</v>
      </c>
      <c r="R401">
        <f t="shared" si="91"/>
        <v>4.6158531130181535E-3</v>
      </c>
      <c r="S401" s="3">
        <f t="shared" si="83"/>
        <v>3.6241131029782929E-2</v>
      </c>
      <c r="T401" s="3">
        <f t="shared" si="88"/>
        <v>-1.2780945469287805E-3</v>
      </c>
      <c r="V401" t="str">
        <f t="shared" si="89"/>
        <v>11-1</v>
      </c>
    </row>
    <row r="402" spans="1:22">
      <c r="A402" s="1">
        <v>45876</v>
      </c>
      <c r="B402" t="s">
        <v>7</v>
      </c>
      <c r="C402">
        <v>636.23999019999997</v>
      </c>
      <c r="D402">
        <v>636.97998050000001</v>
      </c>
      <c r="E402">
        <v>629.10998540000003</v>
      </c>
      <c r="F402">
        <v>632.25</v>
      </c>
      <c r="G402">
        <v>74205800</v>
      </c>
      <c r="H402">
        <f t="shared" si="92"/>
        <v>629.14399414000002</v>
      </c>
      <c r="I402">
        <f t="shared" si="84"/>
        <v>629.59849853499998</v>
      </c>
      <c r="J402" s="4">
        <f t="shared" si="85"/>
        <v>608.3137128354839</v>
      </c>
      <c r="K402">
        <f t="shared" si="90"/>
        <v>2.2149480479124618E-4</v>
      </c>
      <c r="L402">
        <f t="shared" si="79"/>
        <v>5.5607218679599893E-4</v>
      </c>
      <c r="M402" s="3">
        <f t="shared" si="86"/>
        <v>1.9974289452338342E-3</v>
      </c>
      <c r="N402" t="str">
        <f t="shared" ca="1" si="87"/>
        <v>wait</v>
      </c>
      <c r="O402">
        <f t="shared" si="80"/>
        <v>1.1278810774788983E-2</v>
      </c>
      <c r="P402">
        <f t="shared" si="81"/>
        <v>5.7793369941807615E-3</v>
      </c>
      <c r="Q402">
        <f t="shared" si="82"/>
        <v>-1.6116966059352977E-3</v>
      </c>
      <c r="R402">
        <f t="shared" si="91"/>
        <v>2.2645420487860113E-3</v>
      </c>
      <c r="S402" s="3">
        <f t="shared" si="83"/>
        <v>3.4989817343263584E-2</v>
      </c>
      <c r="T402" s="3">
        <f t="shared" si="88"/>
        <v>-1.2513136865193453E-3</v>
      </c>
      <c r="V402" t="str">
        <f t="shared" si="89"/>
        <v>11-1</v>
      </c>
    </row>
    <row r="403" spans="1:22">
      <c r="A403" s="1">
        <v>45877</v>
      </c>
      <c r="B403" t="s">
        <v>7</v>
      </c>
      <c r="C403">
        <v>634.05999759999997</v>
      </c>
      <c r="D403">
        <v>637.65002440000001</v>
      </c>
      <c r="E403">
        <v>633.73999019999997</v>
      </c>
      <c r="F403">
        <v>637.17999269999996</v>
      </c>
      <c r="G403">
        <v>64051600</v>
      </c>
      <c r="H403">
        <f t="shared" si="92"/>
        <v>629.17799072000003</v>
      </c>
      <c r="I403">
        <f t="shared" si="84"/>
        <v>629.91999816999999</v>
      </c>
      <c r="J403" s="4">
        <f t="shared" si="85"/>
        <v>609.39742255161286</v>
      </c>
      <c r="K403">
        <f t="shared" si="90"/>
        <v>3.3873865393592461E-3</v>
      </c>
      <c r="L403">
        <f t="shared" si="79"/>
        <v>6.9192817483475341E-4</v>
      </c>
      <c r="M403" s="3">
        <f t="shared" si="86"/>
        <v>2.0055867580708727E-3</v>
      </c>
      <c r="N403" t="str">
        <f t="shared" ca="1" si="87"/>
        <v>wait</v>
      </c>
      <c r="O403">
        <f t="shared" si="80"/>
        <v>7.7593414773031721E-3</v>
      </c>
      <c r="P403">
        <f t="shared" si="81"/>
        <v>4.8825758772721439E-3</v>
      </c>
      <c r="Q403">
        <f t="shared" si="82"/>
        <v>-1.0808598044276252E-4</v>
      </c>
      <c r="R403">
        <f t="shared" si="91"/>
        <v>1.5036106254925352E-3</v>
      </c>
      <c r="S403" s="3">
        <f t="shared" si="83"/>
        <v>3.3676833637492069E-2</v>
      </c>
      <c r="T403" s="3">
        <f t="shared" si="88"/>
        <v>-1.3129837057715144E-3</v>
      </c>
      <c r="V403" t="str">
        <f t="shared" si="89"/>
        <v>11-1</v>
      </c>
    </row>
    <row r="404" spans="1:22">
      <c r="A404" s="1">
        <v>45880</v>
      </c>
      <c r="B404" t="s">
        <v>7</v>
      </c>
      <c r="C404">
        <v>637.46002199999998</v>
      </c>
      <c r="D404">
        <v>638.95001219999995</v>
      </c>
      <c r="E404">
        <v>634.6599731</v>
      </c>
      <c r="F404">
        <v>635.91998290000004</v>
      </c>
      <c r="G404">
        <v>58742300</v>
      </c>
      <c r="H404">
        <f t="shared" si="92"/>
        <v>632.26999511999998</v>
      </c>
      <c r="I404">
        <f t="shared" si="84"/>
        <v>630.59799804999989</v>
      </c>
      <c r="J404" s="4">
        <f t="shared" si="85"/>
        <v>610.57226070967738</v>
      </c>
      <c r="K404">
        <f t="shared" si="90"/>
        <v>1.9044029224539727E-3</v>
      </c>
      <c r="L404">
        <f t="shared" si="79"/>
        <v>9.8990054156585265E-4</v>
      </c>
      <c r="M404" s="3">
        <f t="shared" si="86"/>
        <v>1.5491976252002093E-3</v>
      </c>
      <c r="N404" t="str">
        <f t="shared" ca="1" si="87"/>
        <v>wait</v>
      </c>
      <c r="O404">
        <f t="shared" si="80"/>
        <v>8.2085610894993E-3</v>
      </c>
      <c r="P404">
        <f t="shared" si="81"/>
        <v>7.765665962162327E-3</v>
      </c>
      <c r="Q404">
        <f t="shared" si="82"/>
        <v>2.3249483469811594E-3</v>
      </c>
      <c r="R404">
        <f t="shared" si="91"/>
        <v>2.4330343274239219E-3</v>
      </c>
      <c r="S404" s="3">
        <f t="shared" si="83"/>
        <v>3.2798308454180823E-2</v>
      </c>
      <c r="T404" s="3">
        <f t="shared" si="88"/>
        <v>-8.7852518331124618E-4</v>
      </c>
      <c r="V404" t="str">
        <f t="shared" si="89"/>
        <v>11-1</v>
      </c>
    </row>
    <row r="405" spans="1:22">
      <c r="A405" s="1">
        <v>45881</v>
      </c>
      <c r="B405" t="s">
        <v>7</v>
      </c>
      <c r="C405">
        <v>638.28997800000002</v>
      </c>
      <c r="D405">
        <v>642.84997559999999</v>
      </c>
      <c r="E405">
        <v>636.78997800000002</v>
      </c>
      <c r="F405">
        <v>642.69000240000003</v>
      </c>
      <c r="G405">
        <v>64730800</v>
      </c>
      <c r="H405">
        <f t="shared" si="92"/>
        <v>633.21999512000002</v>
      </c>
      <c r="I405">
        <f t="shared" si="84"/>
        <v>631.15349731499998</v>
      </c>
      <c r="J405" s="4">
        <f t="shared" si="85"/>
        <v>611.42597026935505</v>
      </c>
      <c r="K405">
        <f t="shared" si="90"/>
        <v>2.5319720913209139E-3</v>
      </c>
      <c r="L405">
        <f t="shared" si="79"/>
        <v>1.1074651988796915E-3</v>
      </c>
      <c r="M405" s="3">
        <f t="shared" si="86"/>
        <v>1.3939050323267363E-3</v>
      </c>
      <c r="N405" t="str">
        <f t="shared" ca="1" si="87"/>
        <v>wait</v>
      </c>
      <c r="O405">
        <f t="shared" si="80"/>
        <v>8.0066689603495167E-3</v>
      </c>
      <c r="P405">
        <f t="shared" si="81"/>
        <v>4.2639016468333235E-3</v>
      </c>
      <c r="Q405">
        <f t="shared" si="82"/>
        <v>2.2740563960350624E-3</v>
      </c>
      <c r="R405">
        <f t="shared" si="91"/>
        <v>-5.0891950946096998E-5</v>
      </c>
      <c r="S405" s="3">
        <f t="shared" si="83"/>
        <v>3.2264784299159306E-2</v>
      </c>
      <c r="T405" s="3">
        <f t="shared" si="88"/>
        <v>-5.3352415502151695E-4</v>
      </c>
      <c r="V405" t="str">
        <f t="shared" si="89"/>
        <v>11-1</v>
      </c>
    </row>
    <row r="406" spans="1:22">
      <c r="A406" s="1">
        <v>45882</v>
      </c>
      <c r="B406" t="s">
        <v>7</v>
      </c>
      <c r="C406">
        <v>644.9099731</v>
      </c>
      <c r="D406">
        <v>646.19000240000003</v>
      </c>
      <c r="E406">
        <v>642.67999269999996</v>
      </c>
      <c r="F406">
        <v>644.89001459999997</v>
      </c>
      <c r="G406">
        <v>60092800</v>
      </c>
      <c r="H406">
        <f t="shared" si="92"/>
        <v>636.16400146000001</v>
      </c>
      <c r="I406">
        <f t="shared" si="84"/>
        <v>632.1809967050001</v>
      </c>
      <c r="J406" s="4">
        <f t="shared" si="85"/>
        <v>612.32677632580646</v>
      </c>
      <c r="K406">
        <f t="shared" si="90"/>
        <v>3.1322015996499467E-3</v>
      </c>
      <c r="L406">
        <f t="shared" si="79"/>
        <v>1.4794489576557255E-3</v>
      </c>
      <c r="M406" s="3">
        <f t="shared" si="86"/>
        <v>1.5628803808072265E-3</v>
      </c>
      <c r="N406" t="str">
        <f t="shared" ca="1" si="87"/>
        <v>wait</v>
      </c>
      <c r="O406">
        <f t="shared" si="80"/>
        <v>1.3747982627007937E-2</v>
      </c>
      <c r="P406">
        <f t="shared" si="81"/>
        <v>1.025836250561607E-2</v>
      </c>
      <c r="Q406">
        <f t="shared" si="82"/>
        <v>9.839861082414636E-4</v>
      </c>
      <c r="R406">
        <f t="shared" si="91"/>
        <v>-1.2900702877935988E-3</v>
      </c>
      <c r="S406" s="3">
        <f t="shared" si="83"/>
        <v>3.2424223709971507E-2</v>
      </c>
      <c r="T406" s="3">
        <f t="shared" si="88"/>
        <v>1.5943941081220103E-4</v>
      </c>
      <c r="V406" t="str">
        <f t="shared" si="89"/>
        <v>111</v>
      </c>
    </row>
    <row r="407" spans="1:22">
      <c r="A407" s="1">
        <v>45883</v>
      </c>
      <c r="B407" t="s">
        <v>7</v>
      </c>
      <c r="C407">
        <v>642.78997800000002</v>
      </c>
      <c r="D407">
        <v>645.61999509999998</v>
      </c>
      <c r="E407">
        <v>642.3400269</v>
      </c>
      <c r="F407">
        <v>644.95001219999995</v>
      </c>
      <c r="G407">
        <v>59327500</v>
      </c>
      <c r="H407">
        <f t="shared" si="92"/>
        <v>638.58599852000009</v>
      </c>
      <c r="I407">
        <f t="shared" si="84"/>
        <v>633.21449890000008</v>
      </c>
      <c r="J407" s="4">
        <f t="shared" si="85"/>
        <v>613.25096967580646</v>
      </c>
      <c r="K407">
        <f t="shared" si="90"/>
        <v>3.9984229655990423E-3</v>
      </c>
      <c r="L407">
        <f t="shared" ref="L407:L470" si="93">(F406-F387)/F387/20</f>
        <v>1.3414780261010672E-3</v>
      </c>
      <c r="M407" s="3">
        <f t="shared" si="86"/>
        <v>1.5363725053909461E-3</v>
      </c>
      <c r="N407" t="str">
        <f t="shared" ca="1" si="87"/>
        <v>wait</v>
      </c>
      <c r="O407">
        <f t="shared" ref="O407:O470" si="94">C407/H407-1</f>
        <v>6.5832628490809508E-3</v>
      </c>
      <c r="P407">
        <f t="shared" ref="P407:P470" si="95">F406/H407-1</f>
        <v>9.8718357349052432E-3</v>
      </c>
      <c r="Q407">
        <f t="shared" ref="Q407:Q470" si="96">E406/H407-1</f>
        <v>6.4110302911246642E-3</v>
      </c>
      <c r="R407">
        <f t="shared" si="91"/>
        <v>5.4270441828832006E-3</v>
      </c>
      <c r="S407" s="3">
        <f t="shared" ref="S407:S470" si="97">(I407-J407)/J407</f>
        <v>3.2553604007747906E-2</v>
      </c>
      <c r="T407" s="3">
        <f t="shared" si="88"/>
        <v>1.2938029777639914E-4</v>
      </c>
      <c r="V407" t="str">
        <f t="shared" si="89"/>
        <v>111</v>
      </c>
    </row>
    <row r="408" spans="1:22">
      <c r="A408" s="1">
        <v>45884</v>
      </c>
      <c r="B408" t="s">
        <v>7</v>
      </c>
      <c r="C408">
        <v>645.98999019999997</v>
      </c>
      <c r="D408">
        <v>646.0900269</v>
      </c>
      <c r="E408">
        <v>642.52001949999999</v>
      </c>
      <c r="F408">
        <v>643.44000240000003</v>
      </c>
      <c r="G408">
        <v>68592500</v>
      </c>
      <c r="H408">
        <f t="shared" si="92"/>
        <v>641.12600096000006</v>
      </c>
      <c r="I408">
        <f t="shared" si="84"/>
        <v>634.06000060999997</v>
      </c>
      <c r="J408" s="4">
        <f t="shared" si="85"/>
        <v>614.1298404854839</v>
      </c>
      <c r="K408">
        <f t="shared" si="90"/>
        <v>2.4388774252233326E-3</v>
      </c>
      <c r="L408">
        <f t="shared" si="93"/>
        <v>1.3838868850752628E-3</v>
      </c>
      <c r="M408" s="3">
        <f t="shared" si="86"/>
        <v>1.4234825243467631E-3</v>
      </c>
      <c r="N408" t="str">
        <f t="shared" ca="1" si="87"/>
        <v>wait</v>
      </c>
      <c r="O408">
        <f t="shared" si="94"/>
        <v>7.5866354393936408E-3</v>
      </c>
      <c r="P408">
        <f t="shared" si="95"/>
        <v>5.9645237196337408E-3</v>
      </c>
      <c r="Q408">
        <f t="shared" si="96"/>
        <v>1.8935840040523733E-3</v>
      </c>
      <c r="R408">
        <f t="shared" si="91"/>
        <v>-4.5174462870722909E-3</v>
      </c>
      <c r="S408" s="3">
        <f t="shared" si="97"/>
        <v>3.2452681518880151E-2</v>
      </c>
      <c r="T408" s="3">
        <f t="shared" si="88"/>
        <v>-1.0092248886775512E-4</v>
      </c>
      <c r="V408" t="str">
        <f t="shared" si="89"/>
        <v>11-1</v>
      </c>
    </row>
    <row r="409" spans="1:22">
      <c r="A409" s="1">
        <v>45887</v>
      </c>
      <c r="B409" t="s">
        <v>7</v>
      </c>
      <c r="C409">
        <v>642.85998540000003</v>
      </c>
      <c r="D409">
        <v>644</v>
      </c>
      <c r="E409">
        <v>642.17999269999996</v>
      </c>
      <c r="F409">
        <v>643.29998780000005</v>
      </c>
      <c r="G409">
        <v>43804900</v>
      </c>
      <c r="H409">
        <f t="shared" si="92"/>
        <v>642.37800290000007</v>
      </c>
      <c r="I409">
        <f t="shared" si="84"/>
        <v>634.85299987500014</v>
      </c>
      <c r="J409" s="4">
        <f t="shared" si="85"/>
        <v>614.92403387580646</v>
      </c>
      <c r="K409">
        <f t="shared" si="90"/>
        <v>2.3650835646668242E-3</v>
      </c>
      <c r="L409">
        <f t="shared" si="93"/>
        <v>1.166561894257113E-3</v>
      </c>
      <c r="M409" s="3">
        <f t="shared" si="86"/>
        <v>1.3614084445126781E-3</v>
      </c>
      <c r="N409" t="str">
        <f t="shared" ca="1" si="87"/>
        <v>wait</v>
      </c>
      <c r="O409">
        <f t="shared" si="94"/>
        <v>7.5030978306234175E-4</v>
      </c>
      <c r="P409">
        <f t="shared" si="95"/>
        <v>1.6532314232517997E-3</v>
      </c>
      <c r="Q409">
        <f t="shared" si="96"/>
        <v>2.210794880255218E-4</v>
      </c>
      <c r="R409">
        <f t="shared" si="91"/>
        <v>-1.6725045160268515E-3</v>
      </c>
      <c r="S409" s="3">
        <f t="shared" si="97"/>
        <v>3.240882597088187E-2</v>
      </c>
      <c r="T409" s="3">
        <f t="shared" si="88"/>
        <v>-4.3855547998281064E-5</v>
      </c>
      <c r="V409" t="str">
        <f t="shared" si="89"/>
        <v>11-1</v>
      </c>
    </row>
    <row r="410" spans="1:22">
      <c r="A410" s="1">
        <v>45888</v>
      </c>
      <c r="B410" t="s">
        <v>7</v>
      </c>
      <c r="C410">
        <v>643.11999509999998</v>
      </c>
      <c r="D410">
        <v>644.10998540000003</v>
      </c>
      <c r="E410">
        <v>638.47998050000001</v>
      </c>
      <c r="F410">
        <v>639.80999759999997</v>
      </c>
      <c r="G410">
        <v>69750700</v>
      </c>
      <c r="H410">
        <f t="shared" si="92"/>
        <v>643.85400387999994</v>
      </c>
      <c r="I410">
        <f t="shared" si="84"/>
        <v>635.57949829000006</v>
      </c>
      <c r="J410" s="4">
        <f t="shared" si="85"/>
        <v>615.70548568548395</v>
      </c>
      <c r="K410">
        <f t="shared" si="90"/>
        <v>1.898225887199604E-4</v>
      </c>
      <c r="L410">
        <f t="shared" si="93"/>
        <v>1.1481094945813056E-3</v>
      </c>
      <c r="M410" s="3">
        <f t="shared" si="86"/>
        <v>1.4182905815517549E-3</v>
      </c>
      <c r="N410" t="str">
        <f t="shared" ca="1" si="87"/>
        <v>wait</v>
      </c>
      <c r="O410">
        <f t="shared" si="94"/>
        <v>-1.1400236320293633E-3</v>
      </c>
      <c r="P410">
        <f t="shared" si="95"/>
        <v>-8.6046848611842641E-4</v>
      </c>
      <c r="Q410">
        <f t="shared" si="96"/>
        <v>-2.5999856643152963E-3</v>
      </c>
      <c r="R410">
        <f t="shared" si="91"/>
        <v>-2.8210651523408181E-3</v>
      </c>
      <c r="S410" s="3">
        <f t="shared" si="97"/>
        <v>3.2278440044089841E-2</v>
      </c>
      <c r="T410" s="3">
        <f t="shared" si="88"/>
        <v>-1.3038592679202876E-4</v>
      </c>
      <c r="V410" t="str">
        <f t="shared" si="89"/>
        <v>11-1</v>
      </c>
    </row>
    <row r="411" spans="1:22">
      <c r="A411" s="1">
        <v>45889</v>
      </c>
      <c r="B411" t="s">
        <v>7</v>
      </c>
      <c r="C411">
        <v>639.40002440000001</v>
      </c>
      <c r="D411">
        <v>639.6599731</v>
      </c>
      <c r="E411">
        <v>632.95001219999995</v>
      </c>
      <c r="F411">
        <v>638.10998540000003</v>
      </c>
      <c r="G411">
        <v>88890300</v>
      </c>
      <c r="H411">
        <f t="shared" si="92"/>
        <v>643.27800292000006</v>
      </c>
      <c r="I411">
        <f t="shared" si="84"/>
        <v>636.12699889999999</v>
      </c>
      <c r="J411" s="4">
        <f t="shared" si="85"/>
        <v>616.46290539516144</v>
      </c>
      <c r="K411">
        <f t="shared" si="90"/>
        <v>-1.5754677185228039E-3</v>
      </c>
      <c r="L411">
        <f t="shared" si="93"/>
        <v>4.4149220335089519E-4</v>
      </c>
      <c r="M411" s="3">
        <f t="shared" si="86"/>
        <v>1.6284646292001213E-3</v>
      </c>
      <c r="N411" t="str">
        <f t="shared" ca="1" si="87"/>
        <v>wait</v>
      </c>
      <c r="O411">
        <f t="shared" si="94"/>
        <v>-6.0284643690550199E-3</v>
      </c>
      <c r="P411">
        <f t="shared" si="95"/>
        <v>-5.3911455144710629E-3</v>
      </c>
      <c r="Q411">
        <f t="shared" si="96"/>
        <v>-7.4587074301011302E-3</v>
      </c>
      <c r="R411">
        <f t="shared" si="91"/>
        <v>-4.8587217657858339E-3</v>
      </c>
      <c r="S411" s="3">
        <f t="shared" si="97"/>
        <v>3.1898259137317572E-2</v>
      </c>
      <c r="T411" s="3">
        <f t="shared" si="88"/>
        <v>-3.8018090677226918E-4</v>
      </c>
      <c r="V411" t="str">
        <f t="shared" si="89"/>
        <v>11-1</v>
      </c>
    </row>
    <row r="412" spans="1:22">
      <c r="A412" s="1">
        <v>45890</v>
      </c>
      <c r="B412" t="s">
        <v>7</v>
      </c>
      <c r="C412">
        <v>636.28002930000002</v>
      </c>
      <c r="D412">
        <v>637.96997069999998</v>
      </c>
      <c r="E412">
        <v>633.80999759999997</v>
      </c>
      <c r="F412">
        <v>635.54998780000005</v>
      </c>
      <c r="G412">
        <v>54805800</v>
      </c>
      <c r="H412">
        <f t="shared" si="92"/>
        <v>641.92199707999998</v>
      </c>
      <c r="I412">
        <f t="shared" si="84"/>
        <v>636.32199706999995</v>
      </c>
      <c r="J412" s="4">
        <f t="shared" si="85"/>
        <v>617.35403442741938</v>
      </c>
      <c r="K412">
        <f t="shared" si="90"/>
        <v>-2.1211029290991988E-3</v>
      </c>
      <c r="L412">
        <f t="shared" si="93"/>
        <v>2.9081701392290674E-4</v>
      </c>
      <c r="M412" s="3">
        <f t="shared" si="86"/>
        <v>1.5726547634651951E-3</v>
      </c>
      <c r="N412" t="str">
        <f t="shared" ca="1" si="87"/>
        <v>wait</v>
      </c>
      <c r="O412">
        <f t="shared" si="94"/>
        <v>-8.7891796910907205E-3</v>
      </c>
      <c r="P412">
        <f t="shared" si="95"/>
        <v>-5.9384344162377589E-3</v>
      </c>
      <c r="Q412">
        <f t="shared" si="96"/>
        <v>-1.3976752503905732E-2</v>
      </c>
      <c r="R412">
        <f t="shared" si="91"/>
        <v>-6.5180450738046014E-3</v>
      </c>
      <c r="S412" s="3">
        <f t="shared" si="97"/>
        <v>3.0724611138522633E-2</v>
      </c>
      <c r="T412" s="3">
        <f t="shared" si="88"/>
        <v>-1.173647998794939E-3</v>
      </c>
      <c r="V412" t="str">
        <f t="shared" si="89"/>
        <v>11-1</v>
      </c>
    </row>
    <row r="413" spans="1:22">
      <c r="A413" s="1">
        <v>45891</v>
      </c>
      <c r="B413" t="s">
        <v>7</v>
      </c>
      <c r="C413">
        <v>637.76000980000003</v>
      </c>
      <c r="D413">
        <v>646.5</v>
      </c>
      <c r="E413">
        <v>637.25</v>
      </c>
      <c r="F413">
        <v>645.30999759999997</v>
      </c>
      <c r="G413">
        <v>84083200</v>
      </c>
      <c r="H413">
        <f t="shared" si="92"/>
        <v>640.04199219999998</v>
      </c>
      <c r="I413">
        <f t="shared" si="84"/>
        <v>636.37849731500012</v>
      </c>
      <c r="J413" s="4">
        <f t="shared" si="85"/>
        <v>618.20016282903225</v>
      </c>
      <c r="K413">
        <f t="shared" si="90"/>
        <v>-2.4524476471996146E-3</v>
      </c>
      <c r="L413">
        <f t="shared" si="93"/>
        <v>-1.2164400089171342E-4</v>
      </c>
      <c r="M413" s="3">
        <f t="shared" si="86"/>
        <v>1.6243316993004955E-3</v>
      </c>
      <c r="N413" t="str">
        <f t="shared" ca="1" si="87"/>
        <v>wait</v>
      </c>
      <c r="O413">
        <f t="shared" si="94"/>
        <v>-3.5653635664687489E-3</v>
      </c>
      <c r="P413">
        <f t="shared" si="95"/>
        <v>-7.0182963848350877E-3</v>
      </c>
      <c r="Q413">
        <f t="shared" si="96"/>
        <v>-9.7368527002094085E-3</v>
      </c>
      <c r="R413">
        <f t="shared" si="91"/>
        <v>4.2398998036963231E-3</v>
      </c>
      <c r="S413" s="3">
        <f t="shared" si="97"/>
        <v>2.9405256709702964E-2</v>
      </c>
      <c r="T413" s="3">
        <f t="shared" si="88"/>
        <v>-1.319354428819669E-3</v>
      </c>
      <c r="V413" t="str">
        <f t="shared" si="89"/>
        <v>11-1</v>
      </c>
    </row>
    <row r="414" spans="1:22">
      <c r="A414" s="1">
        <v>45894</v>
      </c>
      <c r="B414" t="s">
        <v>7</v>
      </c>
      <c r="C414">
        <v>644.03997800000002</v>
      </c>
      <c r="D414">
        <v>645.28997800000002</v>
      </c>
      <c r="E414">
        <v>642.34997559999999</v>
      </c>
      <c r="F414">
        <v>642.46997069999998</v>
      </c>
      <c r="G414">
        <v>51274300</v>
      </c>
      <c r="H414">
        <f t="shared" si="92"/>
        <v>640.41599123999993</v>
      </c>
      <c r="I414">
        <f t="shared" si="84"/>
        <v>636.78899841499992</v>
      </c>
      <c r="J414" s="4">
        <f t="shared" si="85"/>
        <v>619.26790496129024</v>
      </c>
      <c r="K414">
        <f t="shared" si="90"/>
        <v>6.2490590334810523E-4</v>
      </c>
      <c r="L414">
        <f t="shared" si="93"/>
        <v>6.5704738032323874E-4</v>
      </c>
      <c r="M414" s="3">
        <f t="shared" si="86"/>
        <v>1.5269663921881409E-3</v>
      </c>
      <c r="N414" t="str">
        <f t="shared" ca="1" si="87"/>
        <v>wait</v>
      </c>
      <c r="O414">
        <f t="shared" si="94"/>
        <v>5.6588011691949269E-3</v>
      </c>
      <c r="P414">
        <f t="shared" si="95"/>
        <v>7.6419177955318052E-3</v>
      </c>
      <c r="Q414">
        <f t="shared" si="96"/>
        <v>-4.9436480089601886E-3</v>
      </c>
      <c r="R414">
        <f t="shared" si="91"/>
        <v>4.7932046912492199E-3</v>
      </c>
      <c r="S414" s="3">
        <f t="shared" si="97"/>
        <v>2.8293236761244563E-2</v>
      </c>
      <c r="T414" s="3">
        <f t="shared" si="88"/>
        <v>-1.1120199484584009E-3</v>
      </c>
      <c r="V414" t="str">
        <f t="shared" si="89"/>
        <v>11-1</v>
      </c>
    </row>
    <row r="415" spans="1:22">
      <c r="A415" s="1">
        <v>45895</v>
      </c>
      <c r="B415" t="s">
        <v>7</v>
      </c>
      <c r="C415">
        <v>642.20001219999995</v>
      </c>
      <c r="D415">
        <v>645.51000980000003</v>
      </c>
      <c r="E415">
        <v>641.57000730000004</v>
      </c>
      <c r="F415">
        <v>645.1599731</v>
      </c>
      <c r="G415">
        <v>51581600</v>
      </c>
      <c r="H415">
        <f t="shared" si="92"/>
        <v>640.24998782</v>
      </c>
      <c r="I415">
        <f t="shared" si="84"/>
        <v>637.06549683000003</v>
      </c>
      <c r="J415" s="4">
        <f t="shared" si="85"/>
        <v>620.09564603064507</v>
      </c>
      <c r="K415">
        <f t="shared" si="90"/>
        <v>8.3148844500019177E-4</v>
      </c>
      <c r="L415">
        <f t="shared" si="93"/>
        <v>5.6748109347146418E-4</v>
      </c>
      <c r="M415" s="3">
        <f t="shared" si="86"/>
        <v>1.5522998660436711E-3</v>
      </c>
      <c r="N415" t="str">
        <f t="shared" ca="1" si="87"/>
        <v>wait</v>
      </c>
      <c r="O415">
        <f t="shared" si="94"/>
        <v>3.0457234160043978E-3</v>
      </c>
      <c r="P415">
        <f t="shared" si="95"/>
        <v>3.4673688750215259E-3</v>
      </c>
      <c r="Q415">
        <f t="shared" si="96"/>
        <v>3.2799497383049214E-3</v>
      </c>
      <c r="R415">
        <f t="shared" si="91"/>
        <v>8.2235977472651101E-3</v>
      </c>
      <c r="S415" s="3">
        <f t="shared" si="97"/>
        <v>2.7366505325399929E-2</v>
      </c>
      <c r="T415" s="3">
        <f t="shared" si="88"/>
        <v>-9.2673143584463477E-4</v>
      </c>
      <c r="V415" t="str">
        <f t="shared" si="89"/>
        <v>11-1</v>
      </c>
    </row>
    <row r="416" spans="1:22">
      <c r="A416" s="1">
        <v>45896</v>
      </c>
      <c r="B416" t="s">
        <v>7</v>
      </c>
      <c r="C416">
        <v>644.57000730000004</v>
      </c>
      <c r="D416">
        <v>647.36999509999998</v>
      </c>
      <c r="E416">
        <v>644.41998290000004</v>
      </c>
      <c r="F416">
        <v>646.63000490000002</v>
      </c>
      <c r="G416">
        <v>48341100</v>
      </c>
      <c r="H416">
        <f t="shared" si="92"/>
        <v>641.31998292000003</v>
      </c>
      <c r="I416">
        <f t="shared" si="84"/>
        <v>637.560494995</v>
      </c>
      <c r="J416" s="4">
        <f t="shared" si="85"/>
        <v>621.02193623387086</v>
      </c>
      <c r="K416">
        <f t="shared" si="90"/>
        <v>2.2096465691821702E-3</v>
      </c>
      <c r="L416">
        <f t="shared" si="93"/>
        <v>8.4323288536531477E-4</v>
      </c>
      <c r="M416" s="3">
        <f t="shared" si="86"/>
        <v>1.5566473586833265E-3</v>
      </c>
      <c r="N416" t="str">
        <f t="shared" ca="1" si="87"/>
        <v>wait</v>
      </c>
      <c r="O416">
        <f t="shared" si="94"/>
        <v>5.0677110749026699E-3</v>
      </c>
      <c r="P416">
        <f t="shared" si="95"/>
        <v>5.9876353182011233E-3</v>
      </c>
      <c r="Q416">
        <f t="shared" si="96"/>
        <v>3.8985901992583116E-4</v>
      </c>
      <c r="R416">
        <f t="shared" si="91"/>
        <v>-2.8900907183790903E-3</v>
      </c>
      <c r="S416" s="3">
        <f t="shared" si="97"/>
        <v>2.6631198990209062E-2</v>
      </c>
      <c r="T416" s="3">
        <f t="shared" si="88"/>
        <v>-7.3530633519086619E-4</v>
      </c>
      <c r="V416" t="str">
        <f t="shared" si="89"/>
        <v>11-1</v>
      </c>
    </row>
    <row r="417" spans="1:22">
      <c r="A417" s="1">
        <v>45897</v>
      </c>
      <c r="B417" t="s">
        <v>7</v>
      </c>
      <c r="C417">
        <v>647.23999019999997</v>
      </c>
      <c r="D417">
        <v>649.47998050000001</v>
      </c>
      <c r="E417">
        <v>645.3400269</v>
      </c>
      <c r="F417">
        <v>648.91998290000004</v>
      </c>
      <c r="G417">
        <v>61519500</v>
      </c>
      <c r="H417">
        <f t="shared" si="92"/>
        <v>643.02398682</v>
      </c>
      <c r="I417">
        <f t="shared" si="84"/>
        <v>638.16899413999988</v>
      </c>
      <c r="J417" s="4">
        <f t="shared" si="85"/>
        <v>621.93451715483855</v>
      </c>
      <c r="K417">
        <f t="shared" si="90"/>
        <v>3.486749213340151E-3</v>
      </c>
      <c r="L417">
        <f t="shared" si="93"/>
        <v>1.1509609073512392E-3</v>
      </c>
      <c r="M417" s="3">
        <f t="shared" si="86"/>
        <v>1.6186223293599283E-3</v>
      </c>
      <c r="N417" t="str">
        <f t="shared" ca="1" si="87"/>
        <v>wait</v>
      </c>
      <c r="O417">
        <f t="shared" si="94"/>
        <v>6.5565258317186181E-3</v>
      </c>
      <c r="P417">
        <f t="shared" si="95"/>
        <v>5.6079060095926003E-3</v>
      </c>
      <c r="Q417">
        <f t="shared" si="96"/>
        <v>2.1709860108076739E-3</v>
      </c>
      <c r="R417">
        <f t="shared" si="91"/>
        <v>1.7811269908818428E-3</v>
      </c>
      <c r="S417" s="3">
        <f t="shared" si="97"/>
        <v>2.6103193402786416E-2</v>
      </c>
      <c r="T417" s="3">
        <f t="shared" si="88"/>
        <v>-5.2800558742264678E-4</v>
      </c>
      <c r="V417" t="str">
        <f t="shared" si="89"/>
        <v>11-1</v>
      </c>
    </row>
    <row r="418" spans="1:22">
      <c r="A418" s="1">
        <v>45898</v>
      </c>
      <c r="B418" t="s">
        <v>7</v>
      </c>
      <c r="C418">
        <v>647.46997069999998</v>
      </c>
      <c r="D418">
        <v>647.8400269</v>
      </c>
      <c r="E418">
        <v>643.14001459999997</v>
      </c>
      <c r="F418">
        <v>645.04998780000005</v>
      </c>
      <c r="G418">
        <v>74522200</v>
      </c>
      <c r="H418">
        <f t="shared" si="92"/>
        <v>645.69798584</v>
      </c>
      <c r="I418">
        <f t="shared" ref="I418:I481" si="98">AVERAGE(F398:F417)</f>
        <v>639.0109924300001</v>
      </c>
      <c r="J418" s="4">
        <f t="shared" si="85"/>
        <v>622.89467793387064</v>
      </c>
      <c r="K418">
        <f t="shared" si="90"/>
        <v>1.1188375551056432E-3</v>
      </c>
      <c r="L418">
        <f t="shared" si="93"/>
        <v>2.1874809787254647E-3</v>
      </c>
      <c r="M418" s="3">
        <f t="shared" si="86"/>
        <v>1.5805919368555364E-3</v>
      </c>
      <c r="N418" t="str">
        <f t="shared" ca="1" si="87"/>
        <v>wait</v>
      </c>
      <c r="O418">
        <f t="shared" si="94"/>
        <v>2.7442936153729836E-3</v>
      </c>
      <c r="P418">
        <f t="shared" si="95"/>
        <v>4.9899444177581298E-3</v>
      </c>
      <c r="Q418">
        <f t="shared" si="96"/>
        <v>-5.5437518445144995E-4</v>
      </c>
      <c r="R418">
        <f t="shared" si="91"/>
        <v>-2.7253611952591239E-3</v>
      </c>
      <c r="S418" s="3">
        <f t="shared" si="97"/>
        <v>2.5873257658240008E-2</v>
      </c>
      <c r="T418" s="3">
        <f t="shared" si="88"/>
        <v>-2.2993574454640772E-4</v>
      </c>
      <c r="V418" t="str">
        <f t="shared" si="89"/>
        <v>11-1</v>
      </c>
    </row>
    <row r="419" spans="1:22">
      <c r="A419" s="1">
        <v>45902</v>
      </c>
      <c r="B419" t="s">
        <v>7</v>
      </c>
      <c r="C419">
        <v>637.5</v>
      </c>
      <c r="D419">
        <v>640.48999019999997</v>
      </c>
      <c r="E419">
        <v>634.91998290000004</v>
      </c>
      <c r="F419">
        <v>640.27001949999999</v>
      </c>
      <c r="G419">
        <v>81983500</v>
      </c>
      <c r="H419">
        <f t="shared" si="92"/>
        <v>645.64598388000002</v>
      </c>
      <c r="I419">
        <f t="shared" si="98"/>
        <v>640.17749328500008</v>
      </c>
      <c r="J419" s="4">
        <f t="shared" si="85"/>
        <v>623.73887093064502</v>
      </c>
      <c r="K419">
        <f t="shared" si="90"/>
        <v>8.0315570148408106E-4</v>
      </c>
      <c r="L419">
        <f t="shared" si="93"/>
        <v>1.0995457068653967E-3</v>
      </c>
      <c r="M419" s="3">
        <f t="shared" si="86"/>
        <v>1.3689196455390895E-3</v>
      </c>
      <c r="N419" t="str">
        <f t="shared" ca="1" si="87"/>
        <v>wait</v>
      </c>
      <c r="O419">
        <f t="shared" si="94"/>
        <v>-1.261679633016044E-2</v>
      </c>
      <c r="P419">
        <f t="shared" si="95"/>
        <v>-9.2310042171772633E-4</v>
      </c>
      <c r="Q419">
        <f t="shared" si="96"/>
        <v>-3.8813364329171041E-3</v>
      </c>
      <c r="R419">
        <f t="shared" si="91"/>
        <v>-3.3269612484656541E-3</v>
      </c>
      <c r="S419" s="3">
        <f t="shared" si="97"/>
        <v>2.635497500713389E-2</v>
      </c>
      <c r="T419" s="3">
        <f t="shared" si="88"/>
        <v>4.817173488938821E-4</v>
      </c>
      <c r="V419" t="str">
        <f t="shared" si="89"/>
        <v>111</v>
      </c>
    </row>
    <row r="420" spans="1:22">
      <c r="A420" s="1">
        <v>45903</v>
      </c>
      <c r="B420" t="s">
        <v>7</v>
      </c>
      <c r="C420">
        <v>642.66998290000004</v>
      </c>
      <c r="D420">
        <v>644.21002199999998</v>
      </c>
      <c r="E420">
        <v>640.46002199999998</v>
      </c>
      <c r="F420">
        <v>643.73999019999997</v>
      </c>
      <c r="G420">
        <v>70820900</v>
      </c>
      <c r="H420">
        <f t="shared" si="92"/>
        <v>645.20599364000009</v>
      </c>
      <c r="I420">
        <f t="shared" si="98"/>
        <v>640.63249511500021</v>
      </c>
      <c r="J420" s="4">
        <f t="shared" si="85"/>
        <v>624.45145145645131</v>
      </c>
      <c r="K420">
        <f t="shared" si="90"/>
        <v>-1.5158887109824057E-3</v>
      </c>
      <c r="L420">
        <f t="shared" si="93"/>
        <v>9.7935007833966281E-4</v>
      </c>
      <c r="M420" s="3">
        <f t="shared" si="86"/>
        <v>1.2400792974329973E-3</v>
      </c>
      <c r="N420" t="str">
        <f t="shared" ca="1" si="87"/>
        <v>wait</v>
      </c>
      <c r="O420">
        <f t="shared" si="94"/>
        <v>-3.9305442990275052E-3</v>
      </c>
      <c r="P420">
        <f t="shared" si="95"/>
        <v>-7.6502298314887751E-3</v>
      </c>
      <c r="Q420">
        <f t="shared" si="96"/>
        <v>-1.5942212008866141E-2</v>
      </c>
      <c r="R420">
        <f t="shared" si="91"/>
        <v>-1.2060875575949037E-2</v>
      </c>
      <c r="S420" s="3">
        <f t="shared" si="97"/>
        <v>2.5912412599584378E-2</v>
      </c>
      <c r="T420" s="3">
        <f t="shared" si="88"/>
        <v>-4.4256240754951201E-4</v>
      </c>
      <c r="V420" t="str">
        <f t="shared" si="89"/>
        <v>11-1</v>
      </c>
    </row>
    <row r="421" spans="1:22">
      <c r="A421" s="1">
        <v>45904</v>
      </c>
      <c r="B421" t="s">
        <v>7</v>
      </c>
      <c r="C421">
        <v>644.41998290000004</v>
      </c>
      <c r="D421">
        <v>649.15002440000001</v>
      </c>
      <c r="E421">
        <v>643.51000980000003</v>
      </c>
      <c r="F421">
        <v>649.11999509999998</v>
      </c>
      <c r="G421">
        <v>65219200</v>
      </c>
      <c r="H421">
        <f t="shared" si="92"/>
        <v>644.92199705999997</v>
      </c>
      <c r="I421">
        <f t="shared" si="98"/>
        <v>641.42099609000013</v>
      </c>
      <c r="J421" s="4">
        <f t="shared" si="85"/>
        <v>625.22258044838691</v>
      </c>
      <c r="K421">
        <f t="shared" si="90"/>
        <v>-8.9386965593933002E-4</v>
      </c>
      <c r="L421">
        <f t="shared" si="93"/>
        <v>8.6601665606641956E-4</v>
      </c>
      <c r="M421" s="3">
        <f t="shared" si="86"/>
        <v>1.4245567670734751E-3</v>
      </c>
      <c r="N421" t="str">
        <f t="shared" ca="1" si="87"/>
        <v>wait</v>
      </c>
      <c r="O421">
        <f t="shared" si="94"/>
        <v>-7.7841066406236781E-4</v>
      </c>
      <c r="P421">
        <f t="shared" si="95"/>
        <v>-1.8327904233200742E-3</v>
      </c>
      <c r="Q421">
        <f t="shared" si="96"/>
        <v>-6.9186274934655012E-3</v>
      </c>
      <c r="R421">
        <f t="shared" si="91"/>
        <v>9.02358451540064E-3</v>
      </c>
      <c r="S421" s="3">
        <f t="shared" si="97"/>
        <v>2.5908238358883822E-2</v>
      </c>
      <c r="T421" s="3">
        <f t="shared" si="88"/>
        <v>-4.1742407005558591E-6</v>
      </c>
      <c r="V421" t="str">
        <f t="shared" si="89"/>
        <v>11-1</v>
      </c>
    </row>
    <row r="422" spans="1:22">
      <c r="A422" s="1">
        <v>45905</v>
      </c>
      <c r="B422" t="s">
        <v>7</v>
      </c>
      <c r="C422">
        <v>651.47998050000001</v>
      </c>
      <c r="D422">
        <v>652.21002199999998</v>
      </c>
      <c r="E422">
        <v>643.33001709999996</v>
      </c>
      <c r="F422">
        <v>647.23999019999997</v>
      </c>
      <c r="G422">
        <v>85178900</v>
      </c>
      <c r="H422">
        <f t="shared" si="92"/>
        <v>645.41999509999994</v>
      </c>
      <c r="I422">
        <f t="shared" si="98"/>
        <v>642.23799438000015</v>
      </c>
      <c r="J422" s="4">
        <f t="shared" si="85"/>
        <v>626.1269354048386</v>
      </c>
      <c r="K422">
        <f t="shared" si="90"/>
        <v>6.1644641949874654E-5</v>
      </c>
      <c r="L422">
        <f t="shared" si="93"/>
        <v>1.3341237722419915E-3</v>
      </c>
      <c r="M422" s="3">
        <f t="shared" si="86"/>
        <v>1.3903255578015942E-3</v>
      </c>
      <c r="N422" t="str">
        <f t="shared" ca="1" si="87"/>
        <v>wait</v>
      </c>
      <c r="O422">
        <f t="shared" si="94"/>
        <v>9.3892123671519556E-3</v>
      </c>
      <c r="P422">
        <f t="shared" si="95"/>
        <v>5.7327012303465263E-3</v>
      </c>
      <c r="Q422">
        <f t="shared" si="96"/>
        <v>-2.9592905619603149E-3</v>
      </c>
      <c r="R422">
        <f t="shared" si="91"/>
        <v>3.9593369315051863E-3</v>
      </c>
      <c r="S422" s="3">
        <f t="shared" si="97"/>
        <v>2.5731298342475104E-2</v>
      </c>
      <c r="T422" s="3">
        <f t="shared" si="88"/>
        <v>-1.7694001640871856E-4</v>
      </c>
      <c r="V422" t="str">
        <f t="shared" si="89"/>
        <v>11-1</v>
      </c>
    </row>
    <row r="423" spans="1:22">
      <c r="A423" s="1">
        <v>45908</v>
      </c>
      <c r="B423" t="s">
        <v>7</v>
      </c>
      <c r="C423">
        <v>648.61999509999998</v>
      </c>
      <c r="D423">
        <v>649.8400269</v>
      </c>
      <c r="E423">
        <v>647.22998050000001</v>
      </c>
      <c r="F423">
        <v>648.83001709999996</v>
      </c>
      <c r="G423">
        <v>63133100</v>
      </c>
      <c r="H423">
        <f t="shared" si="92"/>
        <v>645.08399656000006</v>
      </c>
      <c r="I423">
        <f t="shared" si="98"/>
        <v>642.98749389000011</v>
      </c>
      <c r="J423" s="4">
        <f t="shared" si="85"/>
        <v>626.90274146290301</v>
      </c>
      <c r="K423">
        <f t="shared" si="90"/>
        <v>6.7901788742578191E-4</v>
      </c>
      <c r="L423">
        <f t="shared" si="93"/>
        <v>7.8941567651642374E-4</v>
      </c>
      <c r="M423" s="3">
        <f t="shared" si="86"/>
        <v>1.32181602629612E-3</v>
      </c>
      <c r="N423" t="str">
        <f t="shared" ca="1" si="87"/>
        <v>wait</v>
      </c>
      <c r="O423">
        <f t="shared" si="94"/>
        <v>5.481454444469458E-3</v>
      </c>
      <c r="P423">
        <f t="shared" si="95"/>
        <v>3.3421905542487806E-3</v>
      </c>
      <c r="Q423">
        <f t="shared" si="96"/>
        <v>-2.7189939129685925E-3</v>
      </c>
      <c r="R423">
        <f t="shared" si="91"/>
        <v>2.4029664899172243E-4</v>
      </c>
      <c r="S423" s="3">
        <f t="shared" si="97"/>
        <v>2.5657492563459967E-2</v>
      </c>
      <c r="T423" s="3">
        <f t="shared" si="88"/>
        <v>-7.3805779015136824E-5</v>
      </c>
      <c r="V423" t="str">
        <f t="shared" si="89"/>
        <v>11-1</v>
      </c>
    </row>
    <row r="424" spans="1:22">
      <c r="A424" s="1">
        <v>45909</v>
      </c>
      <c r="B424" t="s">
        <v>7</v>
      </c>
      <c r="C424">
        <v>648.96997069999998</v>
      </c>
      <c r="D424">
        <v>650.85998540000003</v>
      </c>
      <c r="E424">
        <v>647.21997069999998</v>
      </c>
      <c r="F424">
        <v>650.33001709999996</v>
      </c>
      <c r="G424">
        <v>66133900</v>
      </c>
      <c r="H424">
        <f t="shared" si="92"/>
        <v>645.84000242000002</v>
      </c>
      <c r="I424">
        <f t="shared" si="98"/>
        <v>643.56999510999992</v>
      </c>
      <c r="J424" s="4">
        <f t="shared" si="85"/>
        <v>627.69548379193543</v>
      </c>
      <c r="K424">
        <f t="shared" si="90"/>
        <v>2.6738711291478716E-3</v>
      </c>
      <c r="L424">
        <f t="shared" si="93"/>
        <v>1.0150675043364742E-3</v>
      </c>
      <c r="M424" s="3">
        <f t="shared" si="86"/>
        <v>1.2643430032163803E-3</v>
      </c>
      <c r="N424" t="str">
        <f t="shared" ca="1" si="87"/>
        <v>wait</v>
      </c>
      <c r="O424">
        <f t="shared" si="94"/>
        <v>4.8463524530406588E-3</v>
      </c>
      <c r="P424">
        <f t="shared" si="95"/>
        <v>4.6296523423698943E-3</v>
      </c>
      <c r="Q424">
        <f t="shared" si="96"/>
        <v>2.152201899528805E-3</v>
      </c>
      <c r="R424">
        <f t="shared" si="91"/>
        <v>4.8711958124973975E-3</v>
      </c>
      <c r="S424" s="3">
        <f t="shared" si="97"/>
        <v>2.5290147416970225E-2</v>
      </c>
      <c r="T424" s="3">
        <f t="shared" si="88"/>
        <v>-3.6734514648974204E-4</v>
      </c>
      <c r="V424" t="str">
        <f t="shared" si="89"/>
        <v>11-1</v>
      </c>
    </row>
    <row r="425" spans="1:22">
      <c r="A425" s="1">
        <v>45910</v>
      </c>
      <c r="B425" t="s">
        <v>7</v>
      </c>
      <c r="C425">
        <v>653.61999509999998</v>
      </c>
      <c r="D425">
        <v>654.54998780000005</v>
      </c>
      <c r="E425">
        <v>650.63000490000002</v>
      </c>
      <c r="F425">
        <v>652.21002199999998</v>
      </c>
      <c r="G425">
        <v>78034500</v>
      </c>
      <c r="H425">
        <f t="shared" si="92"/>
        <v>647.85200194000004</v>
      </c>
      <c r="I425">
        <f t="shared" si="98"/>
        <v>644.29049681999993</v>
      </c>
      <c r="J425" s="4">
        <f t="shared" si="85"/>
        <v>628.45758056612897</v>
      </c>
      <c r="K425">
        <f t="shared" si="90"/>
        <v>2.0474188337911334E-3</v>
      </c>
      <c r="L425">
        <f t="shared" si="93"/>
        <v>5.9437790159095358E-4</v>
      </c>
      <c r="M425" s="3">
        <f t="shared" si="86"/>
        <v>1.3572023659956657E-3</v>
      </c>
      <c r="N425" t="str">
        <f t="shared" ca="1" si="87"/>
        <v>wait</v>
      </c>
      <c r="O425">
        <f t="shared" si="94"/>
        <v>8.9032574457246216E-3</v>
      </c>
      <c r="P425">
        <f t="shared" si="95"/>
        <v>3.8249710621862665E-3</v>
      </c>
      <c r="Q425">
        <f t="shared" si="96"/>
        <v>-9.7557966650940742E-4</v>
      </c>
      <c r="R425">
        <f t="shared" si="91"/>
        <v>-3.1277815660382124E-3</v>
      </c>
      <c r="S425" s="3">
        <f t="shared" si="97"/>
        <v>2.5193293459215352E-2</v>
      </c>
      <c r="T425" s="3">
        <f t="shared" si="88"/>
        <v>-9.6853957754872849E-5</v>
      </c>
      <c r="V425" t="str">
        <f t="shared" si="89"/>
        <v>11-1</v>
      </c>
    </row>
    <row r="426" spans="1:22">
      <c r="A426" s="1">
        <v>45911</v>
      </c>
      <c r="B426" t="s">
        <v>7</v>
      </c>
      <c r="C426">
        <v>654.17999269999996</v>
      </c>
      <c r="D426">
        <v>658.33001709999996</v>
      </c>
      <c r="E426">
        <v>653.5900269</v>
      </c>
      <c r="F426">
        <v>657.63000490000002</v>
      </c>
      <c r="G426">
        <v>69934400</v>
      </c>
      <c r="H426">
        <f t="shared" si="92"/>
        <v>649.54600830000004</v>
      </c>
      <c r="I426">
        <f t="shared" si="98"/>
        <v>644.7664977999998</v>
      </c>
      <c r="J426" s="4">
        <f t="shared" si="85"/>
        <v>629.27774244677414</v>
      </c>
      <c r="K426">
        <f t="shared" si="90"/>
        <v>9.5206646639315587E-4</v>
      </c>
      <c r="L426">
        <f t="shared" si="93"/>
        <v>5.6753921089476957E-4</v>
      </c>
      <c r="M426" s="3">
        <f t="shared" si="86"/>
        <v>1.3377507798481706E-3</v>
      </c>
      <c r="N426" t="str">
        <f t="shared" ca="1" si="87"/>
        <v>wait</v>
      </c>
      <c r="O426">
        <f t="shared" si="94"/>
        <v>7.1341896352008494E-3</v>
      </c>
      <c r="P426">
        <f t="shared" si="95"/>
        <v>4.1013471962858539E-3</v>
      </c>
      <c r="Q426">
        <f t="shared" si="96"/>
        <v>1.6688526850270335E-3</v>
      </c>
      <c r="R426">
        <f t="shared" si="91"/>
        <v>2.644432351536441E-3</v>
      </c>
      <c r="S426" s="3">
        <f t="shared" si="97"/>
        <v>2.4613543922595883E-2</v>
      </c>
      <c r="T426" s="3">
        <f t="shared" si="88"/>
        <v>-5.7974953661946854E-4</v>
      </c>
      <c r="V426" t="str">
        <f t="shared" si="89"/>
        <v>11-1</v>
      </c>
    </row>
    <row r="427" spans="1:22">
      <c r="A427" s="1">
        <v>45912</v>
      </c>
      <c r="B427" t="s">
        <v>7</v>
      </c>
      <c r="C427">
        <v>657.59997559999999</v>
      </c>
      <c r="D427">
        <v>659.10998540000003</v>
      </c>
      <c r="E427">
        <v>656.90002440000001</v>
      </c>
      <c r="F427">
        <v>657.4099731</v>
      </c>
      <c r="G427">
        <v>72780100</v>
      </c>
      <c r="H427">
        <f t="shared" si="92"/>
        <v>651.24801026</v>
      </c>
      <c r="I427">
        <f t="shared" si="98"/>
        <v>645.40349731499987</v>
      </c>
      <c r="J427" s="4">
        <f t="shared" si="85"/>
        <v>630.14677478387091</v>
      </c>
      <c r="K427">
        <f t="shared" si="90"/>
        <v>3.2105601808656765E-3</v>
      </c>
      <c r="L427">
        <f t="shared" si="93"/>
        <v>9.8302135515488482E-4</v>
      </c>
      <c r="M427" s="3">
        <f t="shared" si="86"/>
        <v>1.6926299525404807E-3</v>
      </c>
      <c r="N427" t="str">
        <f t="shared" ca="1" si="87"/>
        <v>wait</v>
      </c>
      <c r="O427">
        <f t="shared" si="94"/>
        <v>9.7535274425852858E-3</v>
      </c>
      <c r="P427">
        <f t="shared" si="95"/>
        <v>9.7996378329847644E-3</v>
      </c>
      <c r="Q427">
        <f t="shared" si="96"/>
        <v>3.5961977666003619E-3</v>
      </c>
      <c r="R427">
        <f t="shared" si="91"/>
        <v>1.9273450815733284E-3</v>
      </c>
      <c r="S427" s="3">
        <f t="shared" si="97"/>
        <v>2.4211379224089089E-2</v>
      </c>
      <c r="T427" s="3">
        <f t="shared" si="88"/>
        <v>-4.0216469850679407E-4</v>
      </c>
      <c r="V427" t="str">
        <f t="shared" si="89"/>
        <v>11-1</v>
      </c>
    </row>
    <row r="428" spans="1:22">
      <c r="A428" s="1">
        <v>45915</v>
      </c>
      <c r="B428" t="s">
        <v>7</v>
      </c>
      <c r="C428">
        <v>659.64001459999997</v>
      </c>
      <c r="D428">
        <v>661.03997800000002</v>
      </c>
      <c r="E428">
        <v>659.3400269</v>
      </c>
      <c r="F428">
        <v>660.9099731</v>
      </c>
      <c r="G428">
        <v>63772400</v>
      </c>
      <c r="H428">
        <f t="shared" si="92"/>
        <v>653.28200684000001</v>
      </c>
      <c r="I428">
        <f t="shared" si="98"/>
        <v>646.0264953599999</v>
      </c>
      <c r="J428" s="4">
        <f t="shared" si="85"/>
        <v>631.12112918870957</v>
      </c>
      <c r="K428">
        <f t="shared" si="90"/>
        <v>2.6447469364468896E-3</v>
      </c>
      <c r="L428">
        <f t="shared" si="93"/>
        <v>1.085569023366022E-3</v>
      </c>
      <c r="M428" s="3">
        <f t="shared" si="86"/>
        <v>1.5135168763666855E-3</v>
      </c>
      <c r="N428" t="str">
        <f t="shared" ca="1" si="87"/>
        <v>wait</v>
      </c>
      <c r="O428">
        <f t="shared" si="94"/>
        <v>9.7324091180077676E-3</v>
      </c>
      <c r="P428">
        <f t="shared" si="95"/>
        <v>6.3188121160222543E-3</v>
      </c>
      <c r="Q428">
        <f t="shared" si="96"/>
        <v>5.5382170672368947E-3</v>
      </c>
      <c r="R428">
        <f t="shared" si="91"/>
        <v>1.9420193006365327E-3</v>
      </c>
      <c r="S428" s="3">
        <f t="shared" si="97"/>
        <v>2.361728277177283E-2</v>
      </c>
      <c r="T428" s="3">
        <f t="shared" si="88"/>
        <v>-5.9409645231625965E-4</v>
      </c>
      <c r="V428" t="str">
        <f t="shared" si="89"/>
        <v>11-1</v>
      </c>
    </row>
    <row r="429" spans="1:22">
      <c r="A429" s="1">
        <v>45916</v>
      </c>
      <c r="B429" t="s">
        <v>7</v>
      </c>
      <c r="C429">
        <v>661.46997069999998</v>
      </c>
      <c r="D429">
        <v>661.78002930000002</v>
      </c>
      <c r="E429">
        <v>659.21002199999998</v>
      </c>
      <c r="F429">
        <v>660</v>
      </c>
      <c r="G429">
        <v>61169000</v>
      </c>
      <c r="H429">
        <f t="shared" si="92"/>
        <v>655.69799804000002</v>
      </c>
      <c r="I429">
        <f t="shared" si="98"/>
        <v>646.89999389499985</v>
      </c>
      <c r="J429" s="4">
        <f t="shared" si="85"/>
        <v>632.06032242096785</v>
      </c>
      <c r="K429">
        <f t="shared" si="90"/>
        <v>3.2537191031651791E-3</v>
      </c>
      <c r="L429">
        <f t="shared" si="93"/>
        <v>1.368722651482067E-3</v>
      </c>
      <c r="M429" s="3">
        <f t="shared" si="86"/>
        <v>1.7678314810456444E-3</v>
      </c>
      <c r="N429" t="str">
        <f t="shared" ca="1" si="87"/>
        <v>wait</v>
      </c>
      <c r="O429">
        <f t="shared" si="94"/>
        <v>8.8027913418271542E-3</v>
      </c>
      <c r="P429">
        <f t="shared" si="95"/>
        <v>7.9487432866647278E-3</v>
      </c>
      <c r="Q429">
        <f t="shared" si="96"/>
        <v>5.554430348859718E-3</v>
      </c>
      <c r="R429">
        <f t="shared" si="91"/>
        <v>1.6213281622823317E-5</v>
      </c>
      <c r="S429" s="3">
        <f t="shared" si="97"/>
        <v>2.3478251913032461E-2</v>
      </c>
      <c r="T429" s="3">
        <f t="shared" si="88"/>
        <v>-1.390308587403688E-4</v>
      </c>
      <c r="V429" t="str">
        <f t="shared" si="89"/>
        <v>11-1</v>
      </c>
    </row>
    <row r="430" spans="1:22">
      <c r="A430" s="1">
        <v>45917</v>
      </c>
      <c r="B430" t="s">
        <v>7</v>
      </c>
      <c r="C430">
        <v>660.01000980000003</v>
      </c>
      <c r="D430">
        <v>661.71997069999998</v>
      </c>
      <c r="E430">
        <v>654.29998780000005</v>
      </c>
      <c r="F430">
        <v>659.17999269999996</v>
      </c>
      <c r="G430">
        <v>101952200</v>
      </c>
      <c r="H430">
        <f t="shared" si="92"/>
        <v>657.63199462</v>
      </c>
      <c r="I430">
        <f t="shared" si="98"/>
        <v>647.73499450499992</v>
      </c>
      <c r="J430" s="4">
        <f t="shared" si="85"/>
        <v>633.06790259354852</v>
      </c>
      <c r="K430">
        <f t="shared" si="90"/>
        <v>2.3887943261319648E-3</v>
      </c>
      <c r="L430">
        <f t="shared" si="93"/>
        <v>1.5778123564601225E-3</v>
      </c>
      <c r="M430" s="3">
        <f t="shared" si="86"/>
        <v>1.7452239931677299E-3</v>
      </c>
      <c r="N430" t="str">
        <f t="shared" ca="1" si="87"/>
        <v>wait</v>
      </c>
      <c r="O430">
        <f t="shared" si="94"/>
        <v>3.6160271997929261E-3</v>
      </c>
      <c r="P430">
        <f t="shared" si="95"/>
        <v>3.6008062250199036E-3</v>
      </c>
      <c r="Q430">
        <f t="shared" si="96"/>
        <v>2.3995599254744704E-3</v>
      </c>
      <c r="R430">
        <f t="shared" si="91"/>
        <v>-3.1548704233852476E-3</v>
      </c>
      <c r="S430" s="3">
        <f t="shared" si="97"/>
        <v>2.3168276027521448E-2</v>
      </c>
      <c r="T430" s="3">
        <f t="shared" si="88"/>
        <v>-3.0997588551101227E-4</v>
      </c>
      <c r="V430" t="str">
        <f t="shared" si="89"/>
        <v>11-1</v>
      </c>
    </row>
    <row r="431" spans="1:22">
      <c r="A431" s="1">
        <v>45918</v>
      </c>
      <c r="B431" t="s">
        <v>7</v>
      </c>
      <c r="C431">
        <v>661.89001459999997</v>
      </c>
      <c r="D431">
        <v>664.89001459999997</v>
      </c>
      <c r="E431">
        <v>660.27001949999999</v>
      </c>
      <c r="F431">
        <v>662.26000980000003</v>
      </c>
      <c r="G431">
        <v>90459200</v>
      </c>
      <c r="H431">
        <f t="shared" si="92"/>
        <v>659.0259887599999</v>
      </c>
      <c r="I431">
        <f t="shared" si="98"/>
        <v>648.70349425999996</v>
      </c>
      <c r="J431" s="4">
        <f t="shared" si="85"/>
        <v>634.06370888870981</v>
      </c>
      <c r="K431">
        <f t="shared" si="90"/>
        <v>4.7138597340479709E-4</v>
      </c>
      <c r="L431">
        <f t="shared" si="93"/>
        <v>1.6509698783973871E-3</v>
      </c>
      <c r="M431" s="3">
        <f t="shared" si="86"/>
        <v>1.8201285645434789E-3</v>
      </c>
      <c r="N431" t="str">
        <f t="shared" ca="1" si="87"/>
        <v>wait</v>
      </c>
      <c r="O431">
        <f t="shared" si="94"/>
        <v>4.3458465809351754E-3</v>
      </c>
      <c r="P431">
        <f t="shared" si="95"/>
        <v>2.3368416819158355E-4</v>
      </c>
      <c r="Q431">
        <f t="shared" si="96"/>
        <v>-7.1711905760987182E-3</v>
      </c>
      <c r="R431">
        <f t="shared" si="91"/>
        <v>-9.5707505015731886E-3</v>
      </c>
      <c r="S431" s="3">
        <f t="shared" si="97"/>
        <v>2.3088823987338004E-2</v>
      </c>
      <c r="T431" s="3">
        <f t="shared" si="88"/>
        <v>-7.9452040183444067E-5</v>
      </c>
      <c r="V431" t="str">
        <f t="shared" si="89"/>
        <v>11-1</v>
      </c>
    </row>
    <row r="432" spans="1:22">
      <c r="A432" s="1">
        <v>45919</v>
      </c>
      <c r="B432" t="s">
        <v>7</v>
      </c>
      <c r="C432">
        <v>662.33001709999996</v>
      </c>
      <c r="D432">
        <v>664.54998780000005</v>
      </c>
      <c r="E432">
        <v>660.36999509999998</v>
      </c>
      <c r="F432">
        <v>663.70001219999995</v>
      </c>
      <c r="G432">
        <v>97945600</v>
      </c>
      <c r="H432">
        <f t="shared" si="92"/>
        <v>659.95198973999993</v>
      </c>
      <c r="I432">
        <f t="shared" si="98"/>
        <v>649.91099547999988</v>
      </c>
      <c r="J432" s="4">
        <f t="shared" si="85"/>
        <v>635.16016018709684</v>
      </c>
      <c r="K432">
        <f t="shared" si="90"/>
        <v>1.4754983643250215E-3</v>
      </c>
      <c r="L432">
        <f t="shared" si="93"/>
        <v>2.1013313281980036E-3</v>
      </c>
      <c r="M432" s="3">
        <f t="shared" si="86"/>
        <v>1.7248460905558429E-3</v>
      </c>
      <c r="N432" t="str">
        <f t="shared" ca="1" si="87"/>
        <v>wait</v>
      </c>
      <c r="O432">
        <f t="shared" si="94"/>
        <v>3.6033338742367249E-3</v>
      </c>
      <c r="P432">
        <f t="shared" si="95"/>
        <v>3.497254491056756E-3</v>
      </c>
      <c r="Q432">
        <f t="shared" si="96"/>
        <v>4.8189832736977856E-4</v>
      </c>
      <c r="R432">
        <f t="shared" si="91"/>
        <v>7.6530889034684968E-3</v>
      </c>
      <c r="S432" s="3">
        <f t="shared" si="97"/>
        <v>2.322380435283905E-2</v>
      </c>
      <c r="T432" s="3">
        <f t="shared" si="88"/>
        <v>1.3498036550104592E-4</v>
      </c>
      <c r="V432" t="str">
        <f t="shared" si="89"/>
        <v>111</v>
      </c>
    </row>
    <row r="433" spans="1:22">
      <c r="A433" s="1">
        <v>45922</v>
      </c>
      <c r="B433" t="s">
        <v>7</v>
      </c>
      <c r="C433">
        <v>662.20001219999995</v>
      </c>
      <c r="D433">
        <v>667.28997800000002</v>
      </c>
      <c r="E433">
        <v>662.16998290000004</v>
      </c>
      <c r="F433">
        <v>666.8400269</v>
      </c>
      <c r="G433">
        <v>69452200</v>
      </c>
      <c r="H433">
        <f t="shared" si="92"/>
        <v>661.20999756000003</v>
      </c>
      <c r="I433">
        <f t="shared" si="98"/>
        <v>651.31849669999997</v>
      </c>
      <c r="J433" s="4">
        <f t="shared" si="85"/>
        <v>636.18515999032275</v>
      </c>
      <c r="K433">
        <f t="shared" si="90"/>
        <v>8.4430231455375339E-4</v>
      </c>
      <c r="L433">
        <f t="shared" si="93"/>
        <v>1.4248976978812557E-3</v>
      </c>
      <c r="M433" s="3">
        <f t="shared" si="86"/>
        <v>1.5634436465568518E-3</v>
      </c>
      <c r="N433" t="str">
        <f t="shared" ca="1" si="87"/>
        <v>wait</v>
      </c>
      <c r="O433">
        <f t="shared" si="94"/>
        <v>1.4972771791916806E-3</v>
      </c>
      <c r="P433">
        <f t="shared" si="95"/>
        <v>3.7658454185336421E-3</v>
      </c>
      <c r="Q433">
        <f t="shared" si="96"/>
        <v>-1.2704019344834672E-3</v>
      </c>
      <c r="R433">
        <f t="shared" si="91"/>
        <v>-1.7523002618532457E-3</v>
      </c>
      <c r="S433" s="3">
        <f t="shared" si="97"/>
        <v>2.3787629233456849E-2</v>
      </c>
      <c r="T433" s="3">
        <f t="shared" si="88"/>
        <v>5.638248806177984E-4</v>
      </c>
      <c r="V433" t="str">
        <f t="shared" si="89"/>
        <v>111</v>
      </c>
    </row>
    <row r="434" spans="1:22">
      <c r="A434" s="1">
        <v>45923</v>
      </c>
      <c r="B434" t="s">
        <v>7</v>
      </c>
      <c r="C434">
        <v>666.71997069999998</v>
      </c>
      <c r="D434">
        <v>667.3400269</v>
      </c>
      <c r="E434">
        <v>661.97998050000001</v>
      </c>
      <c r="F434">
        <v>663.21002199999998</v>
      </c>
      <c r="G434">
        <v>81708900</v>
      </c>
      <c r="H434">
        <f t="shared" si="92"/>
        <v>662.39600831999996</v>
      </c>
      <c r="I434">
        <f t="shared" si="98"/>
        <v>652.39499816500006</v>
      </c>
      <c r="J434" s="4">
        <f t="shared" si="85"/>
        <v>637.15386962903222</v>
      </c>
      <c r="K434">
        <f t="shared" si="90"/>
        <v>2.0727354242424238E-3</v>
      </c>
      <c r="L434">
        <f t="shared" si="93"/>
        <v>1.8965910712875611E-3</v>
      </c>
      <c r="M434" s="3">
        <f t="shared" si="86"/>
        <v>1.6394351551037125E-3</v>
      </c>
      <c r="N434" t="str">
        <f t="shared" ca="1" si="87"/>
        <v>wait</v>
      </c>
      <c r="O434">
        <f t="shared" si="94"/>
        <v>6.5277603211508772E-3</v>
      </c>
      <c r="P434">
        <f t="shared" si="95"/>
        <v>6.7090056766361261E-3</v>
      </c>
      <c r="Q434">
        <f t="shared" si="96"/>
        <v>-3.4122400672853548E-4</v>
      </c>
      <c r="R434">
        <f t="shared" si="91"/>
        <v>9.2917792775493169E-4</v>
      </c>
      <c r="S434" s="3">
        <f t="shared" si="97"/>
        <v>2.3920640307562809E-2</v>
      </c>
      <c r="T434" s="3">
        <f t="shared" si="88"/>
        <v>1.330110741059598E-4</v>
      </c>
      <c r="V434" t="str">
        <f t="shared" si="89"/>
        <v>111</v>
      </c>
    </row>
    <row r="435" spans="1:22">
      <c r="A435" s="1">
        <v>45924</v>
      </c>
      <c r="B435" t="s">
        <v>7</v>
      </c>
      <c r="C435">
        <v>664.51000980000003</v>
      </c>
      <c r="D435">
        <v>664.60998540000003</v>
      </c>
      <c r="E435">
        <v>659.66998290000004</v>
      </c>
      <c r="F435">
        <v>661.09997559999999</v>
      </c>
      <c r="G435">
        <v>68082200</v>
      </c>
      <c r="H435">
        <f t="shared" si="92"/>
        <v>663.03801271999998</v>
      </c>
      <c r="I435">
        <f t="shared" si="98"/>
        <v>653.43200073000003</v>
      </c>
      <c r="J435" s="4">
        <f t="shared" si="85"/>
        <v>638.05854748225806</v>
      </c>
      <c r="K435">
        <f t="shared" si="90"/>
        <v>1.2227401755605571E-3</v>
      </c>
      <c r="L435">
        <f t="shared" si="93"/>
        <v>1.3988816458396602E-3</v>
      </c>
      <c r="M435" s="3">
        <f t="shared" si="86"/>
        <v>1.3984459474273704E-3</v>
      </c>
      <c r="N435" t="str">
        <f t="shared" ca="1" si="87"/>
        <v>wait</v>
      </c>
      <c r="O435">
        <f t="shared" si="94"/>
        <v>2.2200794701972004E-3</v>
      </c>
      <c r="P435">
        <f t="shared" si="95"/>
        <v>2.5942597060812922E-4</v>
      </c>
      <c r="Q435">
        <f t="shared" si="96"/>
        <v>-1.595733879057093E-3</v>
      </c>
      <c r="R435">
        <f t="shared" si="91"/>
        <v>-1.2545098723285575E-3</v>
      </c>
      <c r="S435" s="3">
        <f t="shared" si="97"/>
        <v>2.4094110655526389E-2</v>
      </c>
      <c r="T435" s="3">
        <f t="shared" si="88"/>
        <v>1.7347034796358005E-4</v>
      </c>
      <c r="V435" t="str">
        <f t="shared" si="89"/>
        <v>111</v>
      </c>
    </row>
    <row r="436" spans="1:22">
      <c r="A436" s="1">
        <v>45925</v>
      </c>
      <c r="B436" t="s">
        <v>7</v>
      </c>
      <c r="C436">
        <v>657.94000240000003</v>
      </c>
      <c r="D436">
        <v>659.4099731</v>
      </c>
      <c r="E436">
        <v>654.4099731</v>
      </c>
      <c r="F436">
        <v>658.04998780000005</v>
      </c>
      <c r="G436">
        <v>89622100</v>
      </c>
      <c r="H436">
        <f t="shared" si="92"/>
        <v>663.42200930000001</v>
      </c>
      <c r="I436">
        <f t="shared" si="98"/>
        <v>654.22900085499987</v>
      </c>
      <c r="J436" s="4">
        <f t="shared" si="85"/>
        <v>638.85257942580654</v>
      </c>
      <c r="K436">
        <f t="shared" si="90"/>
        <v>-3.5032590910943478E-4</v>
      </c>
      <c r="L436">
        <f t="shared" si="93"/>
        <v>1.1188756004477188E-3</v>
      </c>
      <c r="M436" s="3">
        <f t="shared" si="86"/>
        <v>1.2519448515674106E-3</v>
      </c>
      <c r="N436" t="str">
        <f t="shared" ca="1" si="87"/>
        <v>wait</v>
      </c>
      <c r="O436">
        <f t="shared" si="94"/>
        <v>-8.2632273623002295E-3</v>
      </c>
      <c r="P436">
        <f t="shared" si="95"/>
        <v>-3.5000854168978357E-3</v>
      </c>
      <c r="Q436">
        <f t="shared" si="96"/>
        <v>-5.6555651567226084E-3</v>
      </c>
      <c r="R436">
        <f t="shared" si="91"/>
        <v>-4.0598312776655154E-3</v>
      </c>
      <c r="S436" s="3">
        <f t="shared" si="97"/>
        <v>2.4068810120503045E-2</v>
      </c>
      <c r="T436" s="3">
        <f t="shared" si="88"/>
        <v>-2.5300535023344006E-5</v>
      </c>
      <c r="V436" t="str">
        <f t="shared" si="89"/>
        <v>11-1</v>
      </c>
    </row>
    <row r="437" spans="1:22">
      <c r="A437" s="1">
        <v>45926</v>
      </c>
      <c r="B437" t="s">
        <v>7</v>
      </c>
      <c r="C437">
        <v>659.51000980000003</v>
      </c>
      <c r="D437">
        <v>662.36999509999998</v>
      </c>
      <c r="E437">
        <v>657.88000490000002</v>
      </c>
      <c r="F437">
        <v>661.82000730000004</v>
      </c>
      <c r="G437">
        <v>69179200</v>
      </c>
      <c r="H437">
        <f t="shared" si="92"/>
        <v>662.58000489999995</v>
      </c>
      <c r="I437">
        <f t="shared" si="98"/>
        <v>654.79999999999995</v>
      </c>
      <c r="J437" s="4">
        <f t="shared" si="85"/>
        <v>639.54838611451612</v>
      </c>
      <c r="K437">
        <f t="shared" si="90"/>
        <v>-1.7025837866934707E-3</v>
      </c>
      <c r="L437">
        <f t="shared" si="93"/>
        <v>7.0347694173312049E-4</v>
      </c>
      <c r="M437" s="3">
        <f t="shared" si="86"/>
        <v>1.0844059719880878E-3</v>
      </c>
      <c r="N437" t="str">
        <f t="shared" ca="1" si="87"/>
        <v>wait</v>
      </c>
      <c r="O437">
        <f t="shared" si="94"/>
        <v>-4.6333953293130614E-3</v>
      </c>
      <c r="P437">
        <f t="shared" si="95"/>
        <v>-6.8369360175358773E-3</v>
      </c>
      <c r="Q437">
        <f t="shared" si="96"/>
        <v>-1.23306343982309E-2</v>
      </c>
      <c r="R437">
        <f t="shared" si="91"/>
        <v>-6.6750692415082913E-3</v>
      </c>
      <c r="S437" s="3">
        <f t="shared" si="97"/>
        <v>2.3847474587720897E-2</v>
      </c>
      <c r="T437" s="3">
        <f t="shared" si="88"/>
        <v>-2.2133553278214785E-4</v>
      </c>
      <c r="V437" t="str">
        <f t="shared" si="89"/>
        <v>11-1</v>
      </c>
    </row>
    <row r="438" spans="1:22">
      <c r="A438" s="1">
        <v>45929</v>
      </c>
      <c r="B438" t="s">
        <v>7</v>
      </c>
      <c r="C438">
        <v>664.35998540000003</v>
      </c>
      <c r="D438">
        <v>665.28002930000002</v>
      </c>
      <c r="E438">
        <v>661.85998540000003</v>
      </c>
      <c r="F438">
        <v>663.67999269999996</v>
      </c>
      <c r="G438">
        <v>73499000</v>
      </c>
      <c r="H438">
        <f t="shared" si="92"/>
        <v>662.2040039200001</v>
      </c>
      <c r="I438">
        <f t="shared" si="98"/>
        <v>655.44500122000011</v>
      </c>
      <c r="J438" s="4">
        <f t="shared" si="85"/>
        <v>640.25758017419355</v>
      </c>
      <c r="K438">
        <f t="shared" si="90"/>
        <v>-1.5056143595149733E-3</v>
      </c>
      <c r="L438">
        <f t="shared" si="93"/>
        <v>1.2999007687137256E-3</v>
      </c>
      <c r="M438" s="3">
        <f t="shared" si="86"/>
        <v>1.1918827047433485E-3</v>
      </c>
      <c r="N438" t="str">
        <f t="shared" ca="1" si="87"/>
        <v>wait</v>
      </c>
      <c r="O438">
        <f t="shared" si="94"/>
        <v>3.2557663004713078E-3</v>
      </c>
      <c r="P438">
        <f t="shared" si="95"/>
        <v>-5.7987662068925694E-4</v>
      </c>
      <c r="Q438">
        <f t="shared" si="96"/>
        <v>-6.5297083593630623E-3</v>
      </c>
      <c r="R438">
        <f t="shared" si="91"/>
        <v>5.8009260388678374E-3</v>
      </c>
      <c r="S438" s="3">
        <f t="shared" si="97"/>
        <v>2.3720798497496195E-2</v>
      </c>
      <c r="T438" s="3">
        <f t="shared" si="88"/>
        <v>-1.2667609022470189E-4</v>
      </c>
      <c r="V438" t="str">
        <f t="shared" si="89"/>
        <v>11-1</v>
      </c>
    </row>
    <row r="439" spans="1:22">
      <c r="A439" s="1">
        <v>45930</v>
      </c>
      <c r="B439" t="s">
        <v>7</v>
      </c>
      <c r="C439">
        <v>662.92999269999996</v>
      </c>
      <c r="D439">
        <v>666.65002440000001</v>
      </c>
      <c r="E439">
        <v>661.60998540000003</v>
      </c>
      <c r="F439">
        <v>666.17999269999996</v>
      </c>
      <c r="G439">
        <v>86288000</v>
      </c>
      <c r="H439">
        <f t="shared" si="92"/>
        <v>661.57199708000007</v>
      </c>
      <c r="I439">
        <f t="shared" si="98"/>
        <v>656.37650146500005</v>
      </c>
      <c r="J439" s="4">
        <f t="shared" si="85"/>
        <v>640.99999901774186</v>
      </c>
      <c r="K439">
        <f t="shared" si="90"/>
        <v>1.4172605491778175E-4</v>
      </c>
      <c r="L439">
        <f t="shared" si="93"/>
        <v>1.8281328570000275E-3</v>
      </c>
      <c r="M439" s="3">
        <f t="shared" si="86"/>
        <v>1.161253381952952E-3</v>
      </c>
      <c r="N439" t="str">
        <f t="shared" ca="1" si="87"/>
        <v>wait</v>
      </c>
      <c r="O439">
        <f t="shared" si="94"/>
        <v>2.0526800197011585E-3</v>
      </c>
      <c r="P439">
        <f t="shared" si="95"/>
        <v>3.1863434808365731E-3</v>
      </c>
      <c r="Q439">
        <f t="shared" si="96"/>
        <v>4.3530911415690099E-4</v>
      </c>
      <c r="R439">
        <f t="shared" si="91"/>
        <v>6.9650174735199633E-3</v>
      </c>
      <c r="S439" s="3">
        <f t="shared" si="97"/>
        <v>2.3988303386616065E-2</v>
      </c>
      <c r="T439" s="3">
        <f t="shared" si="88"/>
        <v>2.6750488911986975E-4</v>
      </c>
      <c r="V439" t="str">
        <f t="shared" si="89"/>
        <v>111</v>
      </c>
    </row>
    <row r="440" spans="1:22">
      <c r="A440" s="1">
        <v>45931</v>
      </c>
      <c r="B440" t="s">
        <v>7</v>
      </c>
      <c r="C440">
        <v>663.16998290000004</v>
      </c>
      <c r="D440">
        <v>669.36999509999998</v>
      </c>
      <c r="E440">
        <v>663.05999759999997</v>
      </c>
      <c r="F440">
        <v>668.45001219999995</v>
      </c>
      <c r="G440">
        <v>72545400</v>
      </c>
      <c r="H440">
        <f t="shared" si="92"/>
        <v>662.16599122000002</v>
      </c>
      <c r="I440">
        <f t="shared" si="98"/>
        <v>657.67200012499995</v>
      </c>
      <c r="J440" s="4">
        <f t="shared" si="85"/>
        <v>641.73757934838716</v>
      </c>
      <c r="K440">
        <f t="shared" si="90"/>
        <v>1.5368377817256613E-3</v>
      </c>
      <c r="L440">
        <f t="shared" si="93"/>
        <v>1.7429399168621038E-3</v>
      </c>
      <c r="M440" s="3">
        <f t="shared" si="86"/>
        <v>1.0884735781922263E-3</v>
      </c>
      <c r="N440" t="str">
        <f t="shared" ca="1" si="87"/>
        <v>wait</v>
      </c>
      <c r="O440">
        <f t="shared" si="94"/>
        <v>1.5162235652577127E-3</v>
      </c>
      <c r="P440">
        <f t="shared" si="95"/>
        <v>6.061926364723691E-3</v>
      </c>
      <c r="Q440">
        <f t="shared" si="96"/>
        <v>-8.3967740320756157E-4</v>
      </c>
      <c r="R440">
        <f t="shared" si="91"/>
        <v>-1.2749865173644626E-3</v>
      </c>
      <c r="S440" s="3">
        <f t="shared" si="97"/>
        <v>2.4830119490263328E-2</v>
      </c>
      <c r="T440" s="3">
        <f t="shared" si="88"/>
        <v>8.4181610364726309E-4</v>
      </c>
      <c r="V440" t="str">
        <f t="shared" si="89"/>
        <v>111</v>
      </c>
    </row>
    <row r="441" spans="1:22">
      <c r="A441" s="1">
        <v>45932</v>
      </c>
      <c r="B441" t="s">
        <v>7</v>
      </c>
      <c r="C441">
        <v>670.45001219999995</v>
      </c>
      <c r="D441">
        <v>670.57000730000004</v>
      </c>
      <c r="E441">
        <v>666.78002930000002</v>
      </c>
      <c r="F441">
        <v>669.21997069999998</v>
      </c>
      <c r="G441">
        <v>56896000</v>
      </c>
      <c r="H441">
        <f t="shared" si="92"/>
        <v>663.63599854000006</v>
      </c>
      <c r="I441">
        <f t="shared" si="98"/>
        <v>658.90750122499992</v>
      </c>
      <c r="J441" s="4">
        <f t="shared" si="85"/>
        <v>642.43290169193551</v>
      </c>
      <c r="K441">
        <f t="shared" si="90"/>
        <v>3.160861512897939E-3</v>
      </c>
      <c r="L441">
        <f t="shared" si="93"/>
        <v>1.4889401994944004E-3</v>
      </c>
      <c r="M441" s="3">
        <f t="shared" si="86"/>
        <v>1.2827334552919713E-3</v>
      </c>
      <c r="N441" t="str">
        <f t="shared" ca="1" si="87"/>
        <v>wait</v>
      </c>
      <c r="O441">
        <f t="shared" si="94"/>
        <v>1.0267697465162762E-2</v>
      </c>
      <c r="P441">
        <f t="shared" si="95"/>
        <v>7.2539971770528844E-3</v>
      </c>
      <c r="Q441">
        <f t="shared" si="96"/>
        <v>-8.6794709941484527E-4</v>
      </c>
      <c r="R441">
        <f t="shared" si="91"/>
        <v>-2.8269696207283701E-5</v>
      </c>
      <c r="S441" s="3">
        <f t="shared" si="97"/>
        <v>2.5644078143688281E-2</v>
      </c>
      <c r="T441" s="3">
        <f t="shared" si="88"/>
        <v>8.1395865342495308E-4</v>
      </c>
      <c r="V441" t="str">
        <f t="shared" si="89"/>
        <v>111</v>
      </c>
    </row>
    <row r="442" spans="1:22">
      <c r="A442" s="1">
        <v>45933</v>
      </c>
      <c r="B442" t="s">
        <v>7</v>
      </c>
      <c r="C442">
        <v>669.98999019999997</v>
      </c>
      <c r="D442">
        <v>672.67999269999996</v>
      </c>
      <c r="E442">
        <v>668.1599731</v>
      </c>
      <c r="F442">
        <v>669.21002199999998</v>
      </c>
      <c r="G442">
        <v>70494400</v>
      </c>
      <c r="H442">
        <f t="shared" si="92"/>
        <v>665.86999512</v>
      </c>
      <c r="I442">
        <f t="shared" si="98"/>
        <v>659.91250000500008</v>
      </c>
      <c r="J442" s="4">
        <f t="shared" si="85"/>
        <v>643.21580456290326</v>
      </c>
      <c r="K442">
        <f t="shared" si="90"/>
        <v>2.2362465076235035E-3</v>
      </c>
      <c r="L442">
        <f t="shared" si="93"/>
        <v>1.697977630616435E-3</v>
      </c>
      <c r="M442" s="3">
        <f t="shared" si="86"/>
        <v>1.3132567538340152E-3</v>
      </c>
      <c r="N442" t="str">
        <f t="shared" ca="1" si="87"/>
        <v>wait</v>
      </c>
      <c r="O442">
        <f t="shared" si="94"/>
        <v>6.1873865922694726E-3</v>
      </c>
      <c r="P442">
        <f t="shared" si="95"/>
        <v>5.0309754224564518E-3</v>
      </c>
      <c r="Q442">
        <f t="shared" si="96"/>
        <v>1.3666844679434131E-3</v>
      </c>
      <c r="R442">
        <f t="shared" si="91"/>
        <v>2.2346315673582584E-3</v>
      </c>
      <c r="S442" s="3">
        <f t="shared" si="97"/>
        <v>2.5958154827123766E-2</v>
      </c>
      <c r="T442" s="3">
        <f t="shared" si="88"/>
        <v>3.1407668343548523E-4</v>
      </c>
      <c r="V442" t="str">
        <f t="shared" si="89"/>
        <v>111</v>
      </c>
    </row>
    <row r="443" spans="1:22">
      <c r="A443" s="1">
        <v>45936</v>
      </c>
      <c r="B443" t="s">
        <v>7</v>
      </c>
      <c r="C443">
        <v>671.61999509999998</v>
      </c>
      <c r="D443">
        <v>672.51000980000003</v>
      </c>
      <c r="E443">
        <v>669.46002199999998</v>
      </c>
      <c r="F443">
        <v>671.60998540000003</v>
      </c>
      <c r="G443">
        <v>54623300</v>
      </c>
      <c r="H443">
        <f t="shared" si="92"/>
        <v>667.3479980599999</v>
      </c>
      <c r="I443">
        <f t="shared" si="98"/>
        <v>661.01100159500004</v>
      </c>
      <c r="J443" s="4">
        <f t="shared" si="85"/>
        <v>644.00403029032259</v>
      </c>
      <c r="K443">
        <f t="shared" si="90"/>
        <v>1.6664746145209582E-3</v>
      </c>
      <c r="L443">
        <f t="shared" si="93"/>
        <v>1.5705195785400122E-3</v>
      </c>
      <c r="M443" s="3">
        <f t="shared" si="86"/>
        <v>1.2058141998535733E-3</v>
      </c>
      <c r="N443" t="str">
        <f t="shared" ca="1" si="87"/>
        <v>wait</v>
      </c>
      <c r="O443">
        <f t="shared" si="94"/>
        <v>6.4014532933625024E-3</v>
      </c>
      <c r="P443">
        <f t="shared" si="95"/>
        <v>2.7901843497142309E-3</v>
      </c>
      <c r="Q443">
        <f t="shared" si="96"/>
        <v>1.2167190766445568E-3</v>
      </c>
      <c r="R443">
        <f t="shared" si="91"/>
        <v>-1.4996539129885633E-4</v>
      </c>
      <c r="S443" s="3">
        <f t="shared" si="97"/>
        <v>2.6408175267180485E-2</v>
      </c>
      <c r="T443" s="3">
        <f t="shared" si="88"/>
        <v>4.5002044005671912E-4</v>
      </c>
      <c r="V443" t="str">
        <f t="shared" si="89"/>
        <v>111</v>
      </c>
    </row>
    <row r="444" spans="1:22">
      <c r="A444" s="1">
        <v>45937</v>
      </c>
      <c r="B444" t="s">
        <v>7</v>
      </c>
      <c r="C444">
        <v>672.53997800000002</v>
      </c>
      <c r="D444">
        <v>672.98999019999997</v>
      </c>
      <c r="E444">
        <v>667.66998290000004</v>
      </c>
      <c r="F444">
        <v>669.11999509999998</v>
      </c>
      <c r="G444">
        <v>72020100</v>
      </c>
      <c r="H444">
        <f t="shared" si="92"/>
        <v>668.9339966</v>
      </c>
      <c r="I444">
        <f t="shared" si="98"/>
        <v>662.15000000999999</v>
      </c>
      <c r="J444" s="4">
        <f t="shared" si="85"/>
        <v>644.77096557741925</v>
      </c>
      <c r="K444">
        <f t="shared" si="90"/>
        <v>1.6301878649920228E-3</v>
      </c>
      <c r="L444">
        <f t="shared" si="93"/>
        <v>1.6360899651298032E-3</v>
      </c>
      <c r="M444" s="3">
        <f t="shared" si="86"/>
        <v>1.2194661288622347E-3</v>
      </c>
      <c r="N444" t="str">
        <f t="shared" ca="1" si="87"/>
        <v>wait</v>
      </c>
      <c r="O444">
        <f t="shared" si="94"/>
        <v>5.3906385657302991E-3</v>
      </c>
      <c r="P444">
        <f t="shared" si="95"/>
        <v>4.0003779350448188E-3</v>
      </c>
      <c r="Q444">
        <f t="shared" si="96"/>
        <v>7.8636368113094157E-4</v>
      </c>
      <c r="R444">
        <f t="shared" si="91"/>
        <v>-4.3035539551361524E-4</v>
      </c>
      <c r="S444" s="3">
        <f t="shared" si="97"/>
        <v>2.6953810516292542E-2</v>
      </c>
      <c r="T444" s="3">
        <f t="shared" si="88"/>
        <v>5.4563524911205655E-4</v>
      </c>
      <c r="V444" t="str">
        <f t="shared" si="89"/>
        <v>111</v>
      </c>
    </row>
    <row r="445" spans="1:22">
      <c r="A445" s="1">
        <v>45938</v>
      </c>
      <c r="B445" t="s">
        <v>7</v>
      </c>
      <c r="C445">
        <v>670.25</v>
      </c>
      <c r="D445">
        <v>673.21002199999998</v>
      </c>
      <c r="E445">
        <v>669.41998290000004</v>
      </c>
      <c r="F445">
        <v>673.10998540000003</v>
      </c>
      <c r="G445">
        <v>60702200</v>
      </c>
      <c r="H445">
        <f t="shared" si="92"/>
        <v>669.52199708000001</v>
      </c>
      <c r="I445">
        <f t="shared" si="98"/>
        <v>663.08949890999997</v>
      </c>
      <c r="J445" s="4">
        <f t="shared" si="85"/>
        <v>645.46935247741942</v>
      </c>
      <c r="K445">
        <f t="shared" si="90"/>
        <v>2.0045863947103283E-4</v>
      </c>
      <c r="L445">
        <f t="shared" si="93"/>
        <v>1.2963594953773955E-3</v>
      </c>
      <c r="M445" s="3">
        <f t="shared" si="86"/>
        <v>1.2160183112982636E-3</v>
      </c>
      <c r="N445" t="str">
        <f t="shared" ca="1" si="87"/>
        <v>wait</v>
      </c>
      <c r="O445">
        <f t="shared" si="94"/>
        <v>1.0873472763779368E-3</v>
      </c>
      <c r="P445">
        <f t="shared" si="95"/>
        <v>-6.0043132526377274E-4</v>
      </c>
      <c r="Q445">
        <f t="shared" si="96"/>
        <v>-2.7661737599021796E-3</v>
      </c>
      <c r="R445">
        <f t="shared" si="91"/>
        <v>-3.5525374410331212E-3</v>
      </c>
      <c r="S445" s="3">
        <f t="shared" si="97"/>
        <v>2.7298192183643551E-2</v>
      </c>
      <c r="T445" s="3">
        <f t="shared" si="88"/>
        <v>3.4438166735100903E-4</v>
      </c>
      <c r="V445" t="str">
        <f t="shared" si="89"/>
        <v>111</v>
      </c>
    </row>
    <row r="446" spans="1:22">
      <c r="A446" s="1">
        <v>45939</v>
      </c>
      <c r="B446" t="s">
        <v>7</v>
      </c>
      <c r="C446">
        <v>673.53002930000002</v>
      </c>
      <c r="D446">
        <v>673.94000240000003</v>
      </c>
      <c r="E446">
        <v>669.21002199999998</v>
      </c>
      <c r="F446">
        <v>671.1599731</v>
      </c>
      <c r="G446">
        <v>66501900</v>
      </c>
      <c r="H446">
        <f t="shared" si="92"/>
        <v>670.45399171999998</v>
      </c>
      <c r="I446">
        <f t="shared" si="98"/>
        <v>664.13449707999996</v>
      </c>
      <c r="J446" s="4">
        <f t="shared" si="85"/>
        <v>646.26757812741937</v>
      </c>
      <c r="K446">
        <f t="shared" si="90"/>
        <v>1.162551887365561E-3</v>
      </c>
      <c r="L446">
        <f t="shared" si="93"/>
        <v>1.1769521147650427E-3</v>
      </c>
      <c r="M446" s="3">
        <f t="shared" si="86"/>
        <v>1.2883913505846688E-3</v>
      </c>
      <c r="N446" t="str">
        <f t="shared" ca="1" si="87"/>
        <v>wait</v>
      </c>
      <c r="O446">
        <f t="shared" si="94"/>
        <v>4.5879920441800337E-3</v>
      </c>
      <c r="P446">
        <f t="shared" si="95"/>
        <v>3.9614853708100917E-3</v>
      </c>
      <c r="Q446">
        <f t="shared" si="96"/>
        <v>-1.5422517171495009E-3</v>
      </c>
      <c r="R446">
        <f t="shared" si="91"/>
        <v>1.2239220427526787E-3</v>
      </c>
      <c r="S446" s="3">
        <f t="shared" si="97"/>
        <v>2.7646317960666616E-2</v>
      </c>
      <c r="T446" s="3">
        <f t="shared" si="88"/>
        <v>3.4812577702306516E-4</v>
      </c>
      <c r="V446" t="str">
        <f t="shared" si="89"/>
        <v>111</v>
      </c>
    </row>
    <row r="447" spans="1:22">
      <c r="A447" s="1">
        <v>45940</v>
      </c>
      <c r="B447" t="s">
        <v>7</v>
      </c>
      <c r="C447">
        <v>672.13000490000002</v>
      </c>
      <c r="D447">
        <v>673.95001219999995</v>
      </c>
      <c r="E447">
        <v>652.8400269</v>
      </c>
      <c r="F447">
        <v>653.02001949999999</v>
      </c>
      <c r="G447">
        <v>159422600</v>
      </c>
      <c r="H447">
        <f t="shared" si="92"/>
        <v>670.84199220000005</v>
      </c>
      <c r="I447">
        <f t="shared" si="98"/>
        <v>664.8109954900001</v>
      </c>
      <c r="J447" s="4">
        <f t="shared" ref="J447:J510" si="99">AVERAGE(F385:F446)</f>
        <v>647.01515837741931</v>
      </c>
      <c r="K447">
        <f t="shared" si="90"/>
        <v>5.8276207345861334E-4</v>
      </c>
      <c r="L447">
        <f t="shared" si="93"/>
        <v>1.0457705665128736E-3</v>
      </c>
      <c r="M447" s="3">
        <f t="shared" si="86"/>
        <v>1.3132081029358271E-3</v>
      </c>
      <c r="N447" t="str">
        <f t="shared" ca="1" si="87"/>
        <v>wait</v>
      </c>
      <c r="O447">
        <f t="shared" si="94"/>
        <v>1.9199941491079286E-3</v>
      </c>
      <c r="P447">
        <f t="shared" si="95"/>
        <v>4.7400267678110453E-4</v>
      </c>
      <c r="Q447">
        <f t="shared" si="96"/>
        <v>-2.4327192080628723E-3</v>
      </c>
      <c r="R447">
        <f t="shared" si="91"/>
        <v>-8.9046749091337141E-4</v>
      </c>
      <c r="S447" s="3">
        <f t="shared" si="97"/>
        <v>2.7504513429343878E-2</v>
      </c>
      <c r="T447" s="3">
        <f t="shared" si="88"/>
        <v>-1.4180453132273813E-4</v>
      </c>
      <c r="V447" t="str">
        <f t="shared" si="89"/>
        <v>11-1</v>
      </c>
    </row>
    <row r="448" spans="1:22">
      <c r="A448" s="1">
        <v>45943</v>
      </c>
      <c r="B448" t="s">
        <v>7</v>
      </c>
      <c r="C448">
        <v>660.65002440000001</v>
      </c>
      <c r="D448">
        <v>665.13000490000002</v>
      </c>
      <c r="E448">
        <v>659.77001949999999</v>
      </c>
      <c r="F448">
        <v>663.03997800000002</v>
      </c>
      <c r="G448">
        <v>79560500</v>
      </c>
      <c r="H448">
        <f t="shared" si="92"/>
        <v>667.60399170000005</v>
      </c>
      <c r="I448">
        <f t="shared" si="98"/>
        <v>664.59149780999996</v>
      </c>
      <c r="J448" s="4">
        <f t="shared" si="99"/>
        <v>647.51322297258071</v>
      </c>
      <c r="K448">
        <f t="shared" si="90"/>
        <v>-5.5359408895411686E-3</v>
      </c>
      <c r="L448">
        <f t="shared" si="93"/>
        <v>-5.9690078234045743E-4</v>
      </c>
      <c r="M448" s="3">
        <f t="shared" si="86"/>
        <v>7.68961000711113E-4</v>
      </c>
      <c r="N448" t="str">
        <f t="shared" ca="1" si="87"/>
        <v>buy</v>
      </c>
      <c r="O448">
        <f t="shared" si="94"/>
        <v>-1.0416305753793265E-2</v>
      </c>
      <c r="P448">
        <f t="shared" si="95"/>
        <v>-2.1845244158686272E-2</v>
      </c>
      <c r="Q448">
        <f t="shared" si="96"/>
        <v>-2.2114853990619188E-2</v>
      </c>
      <c r="R448">
        <f t="shared" si="91"/>
        <v>-1.9682134782556315E-2</v>
      </c>
      <c r="S448" s="3">
        <f t="shared" si="97"/>
        <v>2.6375175411888763E-2</v>
      </c>
      <c r="T448" s="3">
        <f t="shared" si="88"/>
        <v>-1.1293380174551143E-3</v>
      </c>
      <c r="V448" t="str">
        <f t="shared" si="89"/>
        <v>11-1</v>
      </c>
    </row>
    <row r="449" spans="1:22">
      <c r="A449" s="1">
        <v>45944</v>
      </c>
      <c r="B449" t="s">
        <v>7</v>
      </c>
      <c r="C449">
        <v>657.16998290000004</v>
      </c>
      <c r="D449">
        <v>665.83001709999996</v>
      </c>
      <c r="E449">
        <v>653.16998290000004</v>
      </c>
      <c r="F449">
        <v>662.22998050000001</v>
      </c>
      <c r="G449">
        <v>88779600</v>
      </c>
      <c r="H449">
        <f t="shared" si="92"/>
        <v>665.88999021999985</v>
      </c>
      <c r="I449">
        <f t="shared" si="98"/>
        <v>664.69799805500008</v>
      </c>
      <c r="J449" s="4">
        <f t="shared" si="99"/>
        <v>648.1393521225807</v>
      </c>
      <c r="K449">
        <f t="shared" si="90"/>
        <v>-1.8173174152690819E-3</v>
      </c>
      <c r="L449">
        <f t="shared" si="93"/>
        <v>2.3030136363636511E-4</v>
      </c>
      <c r="M449" s="3">
        <f t="shared" ref="M449:M512" si="100">(F448-F387)/F387/60</f>
        <v>9.2881560691560516E-4</v>
      </c>
      <c r="N449" t="str">
        <f t="shared" ref="N449:N512" ca="1" si="101">IF(AND((F448-H449) / H449&lt;= -0.0155, G448/ AVERAGE(OFFSET(G448,-19,0,20,1)) &gt;= 1.58), "buy", "wait")</f>
        <v>wait</v>
      </c>
      <c r="O449">
        <f t="shared" si="94"/>
        <v>-1.3095267158346746E-2</v>
      </c>
      <c r="P449">
        <f t="shared" si="95"/>
        <v>-4.2800045981442603E-3</v>
      </c>
      <c r="Q449">
        <f t="shared" si="96"/>
        <v>-9.1906633376150904E-3</v>
      </c>
      <c r="R449">
        <f t="shared" si="91"/>
        <v>1.2924190653004097E-2</v>
      </c>
      <c r="S449" s="3">
        <f t="shared" si="97"/>
        <v>2.554797186467964E-2</v>
      </c>
      <c r="T449" s="3">
        <f t="shared" si="88"/>
        <v>-8.2720354720912381E-4</v>
      </c>
      <c r="V449" t="str">
        <f t="shared" si="89"/>
        <v>11-1</v>
      </c>
    </row>
    <row r="450" spans="1:22">
      <c r="A450" s="1">
        <v>45945</v>
      </c>
      <c r="B450" t="s">
        <v>7</v>
      </c>
      <c r="C450">
        <v>666.82000730000004</v>
      </c>
      <c r="D450">
        <v>670.22998050000001</v>
      </c>
      <c r="E450">
        <v>658.92999269999996</v>
      </c>
      <c r="F450">
        <v>665.16998290000004</v>
      </c>
      <c r="G450">
        <v>81702600</v>
      </c>
      <c r="H450">
        <f t="shared" si="92"/>
        <v>664.51198729999999</v>
      </c>
      <c r="I450">
        <f t="shared" si="98"/>
        <v>664.80949708000003</v>
      </c>
      <c r="J450" s="4">
        <f t="shared" si="99"/>
        <v>648.69080377580656</v>
      </c>
      <c r="K450">
        <f t="shared" si="90"/>
        <v>-3.2327569449246848E-3</v>
      </c>
      <c r="L450">
        <f t="shared" si="93"/>
        <v>2.3134711564191365E-4</v>
      </c>
      <c r="M450" s="3">
        <f t="shared" si="100"/>
        <v>9.2020041152454473E-4</v>
      </c>
      <c r="N450" t="str">
        <f t="shared" ca="1" si="101"/>
        <v>wait</v>
      </c>
      <c r="O450">
        <f t="shared" si="94"/>
        <v>3.4732556283565419E-3</v>
      </c>
      <c r="P450">
        <f t="shared" si="95"/>
        <v>-3.4341093066989625E-3</v>
      </c>
      <c r="Q450">
        <f t="shared" si="96"/>
        <v>-1.7068171254643549E-2</v>
      </c>
      <c r="R450">
        <f t="shared" si="91"/>
        <v>-7.877507917028459E-3</v>
      </c>
      <c r="S450" s="3">
        <f t="shared" si="97"/>
        <v>2.484803732436484E-2</v>
      </c>
      <c r="T450" s="3">
        <f t="shared" ref="T450:T513" si="102">S450-S449</f>
        <v>-6.9993454031479913E-4</v>
      </c>
      <c r="V450" t="str">
        <f t="shared" ref="V450:V513" si="103">SIGN(M450)&amp;SIGN(S450)&amp;SIGN(T450)</f>
        <v>11-1</v>
      </c>
    </row>
    <row r="451" spans="1:22">
      <c r="A451" s="1">
        <v>45946</v>
      </c>
      <c r="B451" t="s">
        <v>7</v>
      </c>
      <c r="C451">
        <v>666.82000730000004</v>
      </c>
      <c r="D451">
        <v>668.71002199999998</v>
      </c>
      <c r="E451">
        <v>657.10998540000003</v>
      </c>
      <c r="F451">
        <v>660.64001459999997</v>
      </c>
      <c r="G451">
        <v>110563300</v>
      </c>
      <c r="H451">
        <f t="shared" si="92"/>
        <v>662.92398679999997</v>
      </c>
      <c r="I451">
        <f t="shared" si="98"/>
        <v>665.10899659000017</v>
      </c>
      <c r="J451" s="4">
        <f t="shared" si="99"/>
        <v>649.29709354677425</v>
      </c>
      <c r="K451">
        <f t="shared" si="90"/>
        <v>-1.7849664580958202E-3</v>
      </c>
      <c r="L451">
        <f t="shared" si="93"/>
        <v>2.1970019757638716E-4</v>
      </c>
      <c r="M451" s="3">
        <f t="shared" si="100"/>
        <v>9.6484571123332233E-4</v>
      </c>
      <c r="N451" t="str">
        <f t="shared" ca="1" si="101"/>
        <v>wait</v>
      </c>
      <c r="O451">
        <f t="shared" si="94"/>
        <v>5.877024481806048E-3</v>
      </c>
      <c r="P451">
        <f t="shared" si="95"/>
        <v>3.3880145306579568E-3</v>
      </c>
      <c r="Q451">
        <f t="shared" si="96"/>
        <v>-6.0248145783341478E-3</v>
      </c>
      <c r="R451">
        <f t="shared" si="91"/>
        <v>1.1043356676309402E-2</v>
      </c>
      <c r="S451" s="3">
        <f t="shared" si="97"/>
        <v>2.4352339168582562E-2</v>
      </c>
      <c r="T451" s="3">
        <f t="shared" si="102"/>
        <v>-4.9569815578227872E-4</v>
      </c>
      <c r="V451" t="str">
        <f t="shared" si="103"/>
        <v>11-1</v>
      </c>
    </row>
    <row r="452" spans="1:22">
      <c r="A452" s="1">
        <v>45947</v>
      </c>
      <c r="B452" t="s">
        <v>7</v>
      </c>
      <c r="C452">
        <v>659.5</v>
      </c>
      <c r="D452">
        <v>665.76000980000003</v>
      </c>
      <c r="E452">
        <v>658.14001459999997</v>
      </c>
      <c r="F452">
        <v>664.39001459999997</v>
      </c>
      <c r="G452">
        <v>96500900</v>
      </c>
      <c r="H452">
        <f t="shared" si="92"/>
        <v>660.81999510000003</v>
      </c>
      <c r="I452">
        <f t="shared" si="98"/>
        <v>665.02799683000012</v>
      </c>
      <c r="J452" s="4">
        <f t="shared" si="99"/>
        <v>649.81112572580639</v>
      </c>
      <c r="K452">
        <f t="shared" si="90"/>
        <v>2.3337707489685874E-3</v>
      </c>
      <c r="L452">
        <f t="shared" si="93"/>
        <v>-2.3052565494588781E-4</v>
      </c>
      <c r="M452" s="3">
        <f t="shared" si="100"/>
        <v>8.4226563246256824E-4</v>
      </c>
      <c r="N452" t="str">
        <f t="shared" ca="1" si="101"/>
        <v>wait</v>
      </c>
      <c r="O452">
        <f t="shared" si="94"/>
        <v>-1.9975108347021209E-3</v>
      </c>
      <c r="P452">
        <f t="shared" si="95"/>
        <v>-2.7235934344393975E-4</v>
      </c>
      <c r="Q452">
        <f t="shared" si="96"/>
        <v>-5.6142515776003155E-3</v>
      </c>
      <c r="R452">
        <f t="shared" si="91"/>
        <v>4.1056300073383234E-4</v>
      </c>
      <c r="S452" s="3">
        <f t="shared" si="97"/>
        <v>2.3417375452285845E-2</v>
      </c>
      <c r="T452" s="3">
        <f t="shared" si="102"/>
        <v>-9.3496371629671685E-4</v>
      </c>
      <c r="V452" t="str">
        <f t="shared" si="103"/>
        <v>11-1</v>
      </c>
    </row>
    <row r="453" spans="1:22">
      <c r="A453" s="1">
        <v>45950</v>
      </c>
      <c r="B453" t="s">
        <v>7</v>
      </c>
      <c r="C453">
        <v>667.32000730000004</v>
      </c>
      <c r="D453">
        <v>672.21002199999998</v>
      </c>
      <c r="E453">
        <v>667.27001949999999</v>
      </c>
      <c r="F453">
        <v>671.29998780000005</v>
      </c>
      <c r="G453">
        <v>60493400</v>
      </c>
      <c r="H453">
        <f t="shared" si="92"/>
        <v>663.09399412000005</v>
      </c>
      <c r="I453">
        <f t="shared" si="98"/>
        <v>665.0624969500002</v>
      </c>
      <c r="J453" s="4">
        <f t="shared" si="99"/>
        <v>650.38419071290309</v>
      </c>
      <c r="K453">
        <f t="shared" si="90"/>
        <v>4.0722630453512499E-4</v>
      </c>
      <c r="L453">
        <f t="shared" si="93"/>
        <v>-1.8370315226799006E-4</v>
      </c>
      <c r="M453" s="3">
        <f t="shared" si="100"/>
        <v>7.9311246940002862E-4</v>
      </c>
      <c r="N453" t="str">
        <f t="shared" ca="1" si="101"/>
        <v>wait</v>
      </c>
      <c r="O453">
        <f t="shared" si="94"/>
        <v>6.3731736638761305E-3</v>
      </c>
      <c r="P453">
        <f t="shared" si="95"/>
        <v>1.954504929154055E-3</v>
      </c>
      <c r="Q453">
        <f t="shared" si="96"/>
        <v>-7.4710064695647782E-3</v>
      </c>
      <c r="R453">
        <f t="shared" si="91"/>
        <v>-1.8567548919644628E-3</v>
      </c>
      <c r="S453" s="3">
        <f t="shared" si="97"/>
        <v>2.2568670097912174E-2</v>
      </c>
      <c r="T453" s="3">
        <f t="shared" si="102"/>
        <v>-8.4870535437367098E-4</v>
      </c>
      <c r="V453" t="str">
        <f t="shared" si="103"/>
        <v>11-1</v>
      </c>
    </row>
    <row r="454" spans="1:22">
      <c r="A454" s="1">
        <v>45951</v>
      </c>
      <c r="B454" t="s">
        <v>7</v>
      </c>
      <c r="C454">
        <v>671.44000240000003</v>
      </c>
      <c r="D454">
        <v>672.98999019999997</v>
      </c>
      <c r="E454">
        <v>669.97998050000001</v>
      </c>
      <c r="F454">
        <v>671.28997800000002</v>
      </c>
      <c r="G454">
        <v>56249000</v>
      </c>
      <c r="H454">
        <f t="shared" si="92"/>
        <v>664.74599608000005</v>
      </c>
      <c r="I454">
        <f t="shared" si="98"/>
        <v>665.28549499500002</v>
      </c>
      <c r="J454" s="4">
        <f t="shared" si="99"/>
        <v>650.98241596774187</v>
      </c>
      <c r="K454">
        <f t="shared" si="90"/>
        <v>2.7392318581384561E-3</v>
      </c>
      <c r="L454">
        <f t="shared" si="93"/>
        <v>6.0990979717131545E-4</v>
      </c>
      <c r="M454" s="3">
        <f t="shared" si="100"/>
        <v>9.6886410406498813E-4</v>
      </c>
      <c r="N454" t="str">
        <f t="shared" ca="1" si="101"/>
        <v>wait</v>
      </c>
      <c r="O454">
        <f t="shared" si="94"/>
        <v>1.0070021270492058E-2</v>
      </c>
      <c r="P454">
        <f t="shared" si="95"/>
        <v>9.8593925479038003E-3</v>
      </c>
      <c r="Q454">
        <f t="shared" si="96"/>
        <v>3.7969742350973945E-3</v>
      </c>
      <c r="R454">
        <f t="shared" si="91"/>
        <v>1.1267980704662173E-2</v>
      </c>
      <c r="S454" s="3">
        <f t="shared" si="97"/>
        <v>2.1971528994366739E-2</v>
      </c>
      <c r="T454" s="3">
        <f t="shared" si="102"/>
        <v>-5.9714110354543506E-4</v>
      </c>
      <c r="V454" t="str">
        <f t="shared" si="103"/>
        <v>11-1</v>
      </c>
    </row>
    <row r="455" spans="1:22">
      <c r="A455" s="1">
        <v>45952</v>
      </c>
      <c r="B455" t="s">
        <v>7</v>
      </c>
      <c r="C455">
        <v>672</v>
      </c>
      <c r="D455">
        <v>672</v>
      </c>
      <c r="E455">
        <v>663.29998780000005</v>
      </c>
      <c r="F455">
        <v>667.79998780000005</v>
      </c>
      <c r="G455">
        <v>80564000</v>
      </c>
      <c r="H455">
        <f t="shared" si="92"/>
        <v>666.55799558000001</v>
      </c>
      <c r="I455">
        <f t="shared" si="98"/>
        <v>665.68949279500009</v>
      </c>
      <c r="J455" s="4">
        <f t="shared" si="99"/>
        <v>651.57709330806449</v>
      </c>
      <c r="K455">
        <f t="shared" si="90"/>
        <v>1.8401296683046649E-3</v>
      </c>
      <c r="L455">
        <f t="shared" si="93"/>
        <v>7.7068543156061993E-4</v>
      </c>
      <c r="M455" s="3">
        <f t="shared" si="100"/>
        <v>8.9441750927188985E-4</v>
      </c>
      <c r="N455" t="str">
        <f t="shared" ca="1" si="101"/>
        <v>wait</v>
      </c>
      <c r="O455">
        <f t="shared" si="94"/>
        <v>8.1643374711373173E-3</v>
      </c>
      <c r="P455">
        <f t="shared" si="95"/>
        <v>7.0991308353933746E-3</v>
      </c>
      <c r="Q455">
        <f t="shared" si="96"/>
        <v>5.1338142257559838E-3</v>
      </c>
      <c r="R455">
        <f t="shared" si="91"/>
        <v>1.3368399906585893E-3</v>
      </c>
      <c r="S455" s="3">
        <f t="shared" si="97"/>
        <v>2.165883305578897E-2</v>
      </c>
      <c r="T455" s="3">
        <f t="shared" si="102"/>
        <v>-3.1269593857776931E-4</v>
      </c>
      <c r="V455" t="str">
        <f t="shared" si="103"/>
        <v>11-1</v>
      </c>
    </row>
    <row r="456" spans="1:22">
      <c r="A456" s="1">
        <v>45953</v>
      </c>
      <c r="B456" t="s">
        <v>7</v>
      </c>
      <c r="C456">
        <v>668.11999509999998</v>
      </c>
      <c r="D456">
        <v>672.71002199999998</v>
      </c>
      <c r="E456">
        <v>667.79998780000005</v>
      </c>
      <c r="F456">
        <v>671.76000980000003</v>
      </c>
      <c r="G456">
        <v>65604500</v>
      </c>
      <c r="H456">
        <f t="shared" si="92"/>
        <v>667.08399656000006</v>
      </c>
      <c r="I456">
        <f t="shared" si="98"/>
        <v>666.02449340500004</v>
      </c>
      <c r="J456" s="4">
        <f t="shared" si="99"/>
        <v>652.07225479516126</v>
      </c>
      <c r="K456">
        <f t="shared" ref="K456:K519" si="104">(F455-F451)/F451/5</f>
        <v>2.1675868980885922E-3</v>
      </c>
      <c r="L456">
        <f t="shared" si="93"/>
        <v>7.4082517899561908E-4</v>
      </c>
      <c r="M456" s="3">
        <f t="shared" si="100"/>
        <v>8.0750633978394386E-4</v>
      </c>
      <c r="N456" t="str">
        <f t="shared" ca="1" si="101"/>
        <v>wait</v>
      </c>
      <c r="O456">
        <f t="shared" si="94"/>
        <v>1.553025623972859E-3</v>
      </c>
      <c r="P456">
        <f t="shared" si="95"/>
        <v>1.0733149703667788E-3</v>
      </c>
      <c r="Q456">
        <f t="shared" si="96"/>
        <v>-5.6724622079277198E-3</v>
      </c>
      <c r="R456">
        <f t="shared" si="91"/>
        <v>-1.0806276433683704E-2</v>
      </c>
      <c r="S456" s="3">
        <f t="shared" si="97"/>
        <v>2.1396767777248357E-2</v>
      </c>
      <c r="T456" s="3">
        <f t="shared" si="102"/>
        <v>-2.6206527854061301E-4</v>
      </c>
      <c r="V456" t="str">
        <f t="shared" si="103"/>
        <v>11-1</v>
      </c>
    </row>
    <row r="457" spans="1:22">
      <c r="A457" s="1">
        <v>45954</v>
      </c>
      <c r="B457" t="s">
        <v>7</v>
      </c>
      <c r="C457">
        <v>676.46002199999998</v>
      </c>
      <c r="D457">
        <v>678.46997069999998</v>
      </c>
      <c r="E457">
        <v>675.65002440000001</v>
      </c>
      <c r="F457">
        <v>677.25</v>
      </c>
      <c r="G457">
        <v>74356500</v>
      </c>
      <c r="H457">
        <f t="shared" si="92"/>
        <v>669.30799560000014</v>
      </c>
      <c r="I457">
        <f t="shared" si="98"/>
        <v>666.70999450500005</v>
      </c>
      <c r="J457" s="4">
        <f t="shared" si="99"/>
        <v>652.63386781774182</v>
      </c>
      <c r="K457">
        <f t="shared" si="104"/>
        <v>2.2185749448498898E-3</v>
      </c>
      <c r="L457">
        <f t="shared" si="93"/>
        <v>7.5095965597593616E-4</v>
      </c>
      <c r="M457" s="3">
        <f t="shared" si="100"/>
        <v>9.5761314099537917E-4</v>
      </c>
      <c r="N457" t="str">
        <f t="shared" ca="1" si="101"/>
        <v>wait</v>
      </c>
      <c r="O457">
        <f t="shared" si="94"/>
        <v>1.0685702915573803E-2</v>
      </c>
      <c r="P457">
        <f t="shared" si="95"/>
        <v>3.6635065113808096E-3</v>
      </c>
      <c r="Q457">
        <f t="shared" si="96"/>
        <v>-2.2530849921316154E-3</v>
      </c>
      <c r="R457">
        <f t="shared" ref="R457:R520" si="105">Q457-Q456</f>
        <v>3.4193772157961044E-3</v>
      </c>
      <c r="S457" s="3">
        <f t="shared" si="97"/>
        <v>2.1568182991062942E-2</v>
      </c>
      <c r="T457" s="3">
        <f t="shared" si="102"/>
        <v>1.7141521381458524E-4</v>
      </c>
      <c r="V457" t="str">
        <f t="shared" si="103"/>
        <v>111</v>
      </c>
    </row>
    <row r="458" spans="1:22">
      <c r="A458" s="1">
        <v>45957</v>
      </c>
      <c r="B458" t="s">
        <v>7</v>
      </c>
      <c r="C458">
        <v>682.72998050000001</v>
      </c>
      <c r="D458">
        <v>685.53997800000002</v>
      </c>
      <c r="E458">
        <v>682.11999509999998</v>
      </c>
      <c r="F458">
        <v>685.23999019999997</v>
      </c>
      <c r="G458">
        <v>63339800</v>
      </c>
      <c r="H458">
        <f t="shared" si="92"/>
        <v>671.87999267999999</v>
      </c>
      <c r="I458">
        <f t="shared" si="98"/>
        <v>667.48149414</v>
      </c>
      <c r="J458" s="4">
        <f t="shared" si="99"/>
        <v>653.3111257241934</v>
      </c>
      <c r="K458">
        <f t="shared" si="104"/>
        <v>1.772683541824413E-3</v>
      </c>
      <c r="L458">
        <f t="shared" si="93"/>
        <v>1.0223305997815446E-3</v>
      </c>
      <c r="M458" s="3">
        <f t="shared" si="100"/>
        <v>1.1240523835558552E-3</v>
      </c>
      <c r="N458" t="str">
        <f t="shared" ca="1" si="101"/>
        <v>wait</v>
      </c>
      <c r="O458">
        <f t="shared" si="94"/>
        <v>1.6148699080503315E-2</v>
      </c>
      <c r="P458">
        <f t="shared" si="95"/>
        <v>7.9925096423545394E-3</v>
      </c>
      <c r="Q458">
        <f t="shared" si="96"/>
        <v>5.6111683054620443E-3</v>
      </c>
      <c r="R458">
        <f t="shared" si="105"/>
        <v>7.8642532975936597E-3</v>
      </c>
      <c r="S458" s="3">
        <f t="shared" si="97"/>
        <v>2.1690076684518087E-2</v>
      </c>
      <c r="T458" s="3">
        <f t="shared" si="102"/>
        <v>1.2189369345514539E-4</v>
      </c>
      <c r="V458" t="str">
        <f t="shared" si="103"/>
        <v>111</v>
      </c>
    </row>
    <row r="459" spans="1:22">
      <c r="A459" s="1">
        <v>45958</v>
      </c>
      <c r="B459" t="s">
        <v>7</v>
      </c>
      <c r="C459">
        <v>687.04998780000005</v>
      </c>
      <c r="D459">
        <v>688.9099731</v>
      </c>
      <c r="E459">
        <v>684.83001709999996</v>
      </c>
      <c r="F459">
        <v>687.05999759999997</v>
      </c>
      <c r="G459">
        <v>61738100</v>
      </c>
      <c r="H459">
        <f t="shared" si="92"/>
        <v>674.66799315999992</v>
      </c>
      <c r="I459">
        <f t="shared" si="98"/>
        <v>668.55949401500004</v>
      </c>
      <c r="J459" s="4">
        <f t="shared" si="99"/>
        <v>654.13015746935469</v>
      </c>
      <c r="K459">
        <f t="shared" si="104"/>
        <v>4.1561806841096463E-3</v>
      </c>
      <c r="L459">
        <f t="shared" si="93"/>
        <v>1.4305441253759832E-3</v>
      </c>
      <c r="M459" s="3">
        <f t="shared" si="100"/>
        <v>1.4017205538812258E-3</v>
      </c>
      <c r="N459" t="str">
        <f t="shared" ca="1" si="101"/>
        <v>wait</v>
      </c>
      <c r="O459">
        <f t="shared" si="94"/>
        <v>1.8352722769618079E-2</v>
      </c>
      <c r="P459">
        <f t="shared" si="95"/>
        <v>1.5669925277591812E-2</v>
      </c>
      <c r="Q459">
        <f t="shared" si="96"/>
        <v>1.1045435704006845E-2</v>
      </c>
      <c r="R459">
        <f t="shared" si="105"/>
        <v>5.4342673985448009E-3</v>
      </c>
      <c r="S459" s="3">
        <f t="shared" si="97"/>
        <v>2.2058815636124152E-2</v>
      </c>
      <c r="T459" s="3">
        <f t="shared" si="102"/>
        <v>3.6873895160606518E-4</v>
      </c>
      <c r="V459" t="str">
        <f t="shared" si="103"/>
        <v>111</v>
      </c>
    </row>
    <row r="460" spans="1:22">
      <c r="A460" s="1">
        <v>45959</v>
      </c>
      <c r="B460" t="s">
        <v>7</v>
      </c>
      <c r="C460">
        <v>688.71997069999998</v>
      </c>
      <c r="D460">
        <v>689.70001219999995</v>
      </c>
      <c r="E460">
        <v>682.86999509999998</v>
      </c>
      <c r="F460">
        <v>687.39001459999997</v>
      </c>
      <c r="G460">
        <v>85657100</v>
      </c>
      <c r="H460">
        <f t="shared" si="92"/>
        <v>677.82199707999996</v>
      </c>
      <c r="I460">
        <f t="shared" si="98"/>
        <v>669.60349426000005</v>
      </c>
      <c r="J460" s="4">
        <f t="shared" si="99"/>
        <v>655.01693134838683</v>
      </c>
      <c r="K460">
        <f t="shared" si="104"/>
        <v>5.7681971104701834E-3</v>
      </c>
      <c r="L460">
        <f t="shared" si="93"/>
        <v>1.3920252120836172E-3</v>
      </c>
      <c r="M460" s="3">
        <f t="shared" si="100"/>
        <v>1.7515931603535562E-3</v>
      </c>
      <c r="N460" t="str">
        <f t="shared" ca="1" si="101"/>
        <v>wait</v>
      </c>
      <c r="O460">
        <f t="shared" si="94"/>
        <v>1.6077928522455043E-2</v>
      </c>
      <c r="P460">
        <f t="shared" si="95"/>
        <v>1.3628947658524737E-2</v>
      </c>
      <c r="Q460">
        <f t="shared" si="96"/>
        <v>1.0339027134247614E-2</v>
      </c>
      <c r="R460">
        <f t="shared" si="105"/>
        <v>-7.064085697592315E-4</v>
      </c>
      <c r="S460" s="3">
        <f t="shared" si="97"/>
        <v>2.226898605748405E-2</v>
      </c>
      <c r="T460" s="3">
        <f t="shared" si="102"/>
        <v>2.1017042135989747E-4</v>
      </c>
      <c r="V460" t="str">
        <f t="shared" si="103"/>
        <v>111</v>
      </c>
    </row>
    <row r="461" spans="1:22">
      <c r="A461" s="1">
        <v>45960</v>
      </c>
      <c r="B461" t="s">
        <v>7</v>
      </c>
      <c r="C461">
        <v>683.90002440000001</v>
      </c>
      <c r="D461">
        <v>685.94000240000003</v>
      </c>
      <c r="E461">
        <v>679.83001709999996</v>
      </c>
      <c r="F461">
        <v>679.83001709999996</v>
      </c>
      <c r="G461">
        <v>76335800</v>
      </c>
      <c r="H461">
        <f t="shared" si="92"/>
        <v>681.74000244000001</v>
      </c>
      <c r="I461">
        <f t="shared" si="98"/>
        <v>670.55049438000003</v>
      </c>
      <c r="J461" s="4">
        <f t="shared" si="99"/>
        <v>656.07612560483858</v>
      </c>
      <c r="K461">
        <f t="shared" si="104"/>
        <v>4.6534490210732807E-3</v>
      </c>
      <c r="L461">
        <f t="shared" si="93"/>
        <v>1.3575539206484113E-3</v>
      </c>
      <c r="M461" s="3">
        <f t="shared" si="100"/>
        <v>1.4845454532361479E-3</v>
      </c>
      <c r="N461" t="str">
        <f t="shared" ca="1" si="101"/>
        <v>wait</v>
      </c>
      <c r="O461">
        <f t="shared" si="94"/>
        <v>3.1683955060126667E-3</v>
      </c>
      <c r="P461">
        <f t="shared" si="95"/>
        <v>8.287634787130127E-3</v>
      </c>
      <c r="Q461">
        <f t="shared" si="96"/>
        <v>1.6575126235158777E-3</v>
      </c>
      <c r="R461">
        <f t="shared" si="105"/>
        <v>-8.681514510731736E-3</v>
      </c>
      <c r="S461" s="3">
        <f t="shared" si="97"/>
        <v>2.2062026356800421E-2</v>
      </c>
      <c r="T461" s="3">
        <f t="shared" si="102"/>
        <v>-2.0695970068362879E-4</v>
      </c>
      <c r="V461" t="str">
        <f t="shared" si="103"/>
        <v>11-1</v>
      </c>
    </row>
    <row r="462" spans="1:22">
      <c r="A462" s="1">
        <v>45961</v>
      </c>
      <c r="B462" t="s">
        <v>7</v>
      </c>
      <c r="C462">
        <v>685.03997800000002</v>
      </c>
      <c r="D462">
        <v>685.08001709999996</v>
      </c>
      <c r="E462">
        <v>679.23999019999997</v>
      </c>
      <c r="F462">
        <v>682.05999759999997</v>
      </c>
      <c r="G462">
        <v>87164100</v>
      </c>
      <c r="H462">
        <f t="shared" si="92"/>
        <v>683.35400390000007</v>
      </c>
      <c r="I462">
        <f t="shared" si="98"/>
        <v>671.08099669999979</v>
      </c>
      <c r="J462" s="4">
        <f t="shared" si="99"/>
        <v>656.86096486612894</v>
      </c>
      <c r="K462">
        <f t="shared" si="104"/>
        <v>7.6190981173863818E-4</v>
      </c>
      <c r="L462">
        <f t="shared" si="93"/>
        <v>7.9347250869473557E-4</v>
      </c>
      <c r="M462" s="3">
        <f t="shared" si="100"/>
        <v>1.3763940108524467E-3</v>
      </c>
      <c r="N462" t="str">
        <f t="shared" ca="1" si="101"/>
        <v>wait</v>
      </c>
      <c r="O462">
        <f t="shared" si="94"/>
        <v>2.4672045387572616E-3</v>
      </c>
      <c r="P462">
        <f t="shared" si="95"/>
        <v>-5.1568978595109005E-3</v>
      </c>
      <c r="Q462">
        <f t="shared" si="96"/>
        <v>-5.1568978595109005E-3</v>
      </c>
      <c r="R462">
        <f t="shared" si="105"/>
        <v>-6.8144104830267782E-3</v>
      </c>
      <c r="S462" s="3">
        <f t="shared" si="97"/>
        <v>2.1648465344213219E-2</v>
      </c>
      <c r="T462" s="3">
        <f t="shared" si="102"/>
        <v>-4.135610125872019E-4</v>
      </c>
      <c r="V462" t="str">
        <f t="shared" si="103"/>
        <v>11-1</v>
      </c>
    </row>
    <row r="463" spans="1:22">
      <c r="A463" s="1">
        <v>45964</v>
      </c>
      <c r="B463" t="s">
        <v>7</v>
      </c>
      <c r="C463">
        <v>685.66998290000004</v>
      </c>
      <c r="D463">
        <v>685.79998780000005</v>
      </c>
      <c r="E463">
        <v>679.94000240000003</v>
      </c>
      <c r="F463">
        <v>683.3400269</v>
      </c>
      <c r="G463">
        <v>57315000</v>
      </c>
      <c r="H463">
        <f t="shared" si="92"/>
        <v>684.31600342000002</v>
      </c>
      <c r="I463">
        <f t="shared" si="98"/>
        <v>671.72349547999988</v>
      </c>
      <c r="J463" s="4">
        <f t="shared" si="99"/>
        <v>657.73338465483857</v>
      </c>
      <c r="K463">
        <f t="shared" si="104"/>
        <v>-9.2813981830565709E-4</v>
      </c>
      <c r="L463">
        <f t="shared" si="93"/>
        <v>7.7798219406878598E-4</v>
      </c>
      <c r="M463" s="3">
        <f t="shared" si="100"/>
        <v>1.2979752314695864E-3</v>
      </c>
      <c r="N463" t="str">
        <f t="shared" ca="1" si="101"/>
        <v>wait</v>
      </c>
      <c r="O463">
        <f t="shared" si="94"/>
        <v>1.9785880693030666E-3</v>
      </c>
      <c r="P463">
        <f t="shared" si="95"/>
        <v>-3.2967310551341722E-3</v>
      </c>
      <c r="Q463">
        <f t="shared" si="96"/>
        <v>-7.417645056716049E-3</v>
      </c>
      <c r="R463">
        <f t="shared" si="105"/>
        <v>-2.2607471972051485E-3</v>
      </c>
      <c r="S463" s="3">
        <f t="shared" si="97"/>
        <v>2.127018508039235E-2</v>
      </c>
      <c r="T463" s="3">
        <f t="shared" si="102"/>
        <v>-3.782802638208696E-4</v>
      </c>
      <c r="V463" t="str">
        <f t="shared" si="103"/>
        <v>11-1</v>
      </c>
    </row>
    <row r="464" spans="1:22">
      <c r="A464" s="1">
        <v>45965</v>
      </c>
      <c r="B464" t="s">
        <v>7</v>
      </c>
      <c r="C464">
        <v>676.10998540000003</v>
      </c>
      <c r="D464">
        <v>679.96002199999998</v>
      </c>
      <c r="E464">
        <v>674.58001709999996</v>
      </c>
      <c r="F464">
        <v>675.23999019999997</v>
      </c>
      <c r="G464">
        <v>78427000</v>
      </c>
      <c r="H464">
        <f t="shared" ref="H464:H527" si="106">AVERAGE(F459:F463)</f>
        <v>683.93601075999993</v>
      </c>
      <c r="I464">
        <f t="shared" si="98"/>
        <v>672.30999755499977</v>
      </c>
      <c r="J464" s="4">
        <f t="shared" si="99"/>
        <v>658.54886848709668</v>
      </c>
      <c r="K464">
        <f t="shared" si="104"/>
        <v>-1.0828663327786139E-3</v>
      </c>
      <c r="L464">
        <f t="shared" si="93"/>
        <v>1.0625920540511444E-3</v>
      </c>
      <c r="M464" s="3">
        <f t="shared" si="100"/>
        <v>1.3467780914722552E-3</v>
      </c>
      <c r="N464" t="str">
        <f t="shared" ca="1" si="101"/>
        <v>wait</v>
      </c>
      <c r="O464">
        <f t="shared" si="94"/>
        <v>-1.1442628019108891E-2</v>
      </c>
      <c r="P464">
        <f t="shared" si="95"/>
        <v>-8.71402953819711E-4</v>
      </c>
      <c r="Q464">
        <f t="shared" si="96"/>
        <v>-5.8426640754878356E-3</v>
      </c>
      <c r="R464">
        <f t="shared" si="105"/>
        <v>1.5749809812282134E-3</v>
      </c>
      <c r="S464" s="3">
        <f t="shared" si="97"/>
        <v>2.089613956746585E-2</v>
      </c>
      <c r="T464" s="3">
        <f t="shared" si="102"/>
        <v>-3.7404551292649982E-4</v>
      </c>
      <c r="V464" t="str">
        <f t="shared" si="103"/>
        <v>11-1</v>
      </c>
    </row>
    <row r="465" spans="1:22">
      <c r="A465" s="1">
        <v>45966</v>
      </c>
      <c r="B465" t="s">
        <v>7</v>
      </c>
      <c r="C465">
        <v>674.97998050000001</v>
      </c>
      <c r="D465">
        <v>680.85998540000003</v>
      </c>
      <c r="E465">
        <v>674.16998290000004</v>
      </c>
      <c r="F465">
        <v>677.58001709999996</v>
      </c>
      <c r="G465">
        <v>74402400</v>
      </c>
      <c r="H465">
        <f t="shared" si="106"/>
        <v>681.57200927999997</v>
      </c>
      <c r="I465">
        <f t="shared" si="98"/>
        <v>672.61599730999978</v>
      </c>
      <c r="J465" s="4">
        <f t="shared" si="99"/>
        <v>659.24225542580655</v>
      </c>
      <c r="K465">
        <f t="shared" si="104"/>
        <v>-3.5351180965496692E-3</v>
      </c>
      <c r="L465">
        <f t="shared" si="93"/>
        <v>1.5822115599237237E-4</v>
      </c>
      <c r="M465" s="3">
        <f t="shared" si="100"/>
        <v>9.9553234397509812E-4</v>
      </c>
      <c r="N465" t="str">
        <f t="shared" ca="1" si="101"/>
        <v>wait</v>
      </c>
      <c r="O465">
        <f t="shared" si="94"/>
        <v>-9.6718009106090408E-3</v>
      </c>
      <c r="P465">
        <f t="shared" si="95"/>
        <v>-9.290315614177036E-3</v>
      </c>
      <c r="Q465">
        <f t="shared" si="96"/>
        <v>-1.0258625772185392E-2</v>
      </c>
      <c r="R465">
        <f t="shared" si="105"/>
        <v>-4.4159616966975568E-3</v>
      </c>
      <c r="S465" s="3">
        <f t="shared" si="97"/>
        <v>2.0286536207475198E-2</v>
      </c>
      <c r="T465" s="3">
        <f t="shared" si="102"/>
        <v>-6.096033599906521E-4</v>
      </c>
      <c r="V465" t="str">
        <f t="shared" si="103"/>
        <v>11-1</v>
      </c>
    </row>
    <row r="466" spans="1:22">
      <c r="A466" s="1">
        <v>45967</v>
      </c>
      <c r="B466" t="s">
        <v>7</v>
      </c>
      <c r="C466">
        <v>676.46997069999998</v>
      </c>
      <c r="D466">
        <v>677.38000490000002</v>
      </c>
      <c r="E466">
        <v>668.71997069999998</v>
      </c>
      <c r="F466">
        <v>670.30999759999997</v>
      </c>
      <c r="G466">
        <v>85035300</v>
      </c>
      <c r="H466">
        <f t="shared" si="106"/>
        <v>679.61000977999993</v>
      </c>
      <c r="I466">
        <f t="shared" si="98"/>
        <v>672.83949889499979</v>
      </c>
      <c r="J466" s="4">
        <f t="shared" si="99"/>
        <v>659.89386872258069</v>
      </c>
      <c r="K466">
        <f t="shared" si="104"/>
        <v>-6.6193017177970095E-4</v>
      </c>
      <c r="L466">
        <f t="shared" si="93"/>
        <v>4.7827971402604805E-4</v>
      </c>
      <c r="M466" s="3">
        <f t="shared" si="100"/>
        <v>1.091857343697466E-3</v>
      </c>
      <c r="N466" t="str">
        <f t="shared" ca="1" si="101"/>
        <v>wait</v>
      </c>
      <c r="O466">
        <f t="shared" si="94"/>
        <v>-4.6203543720853002E-3</v>
      </c>
      <c r="P466">
        <f t="shared" si="95"/>
        <v>-2.9869964402924332E-3</v>
      </c>
      <c r="Q466">
        <f t="shared" si="96"/>
        <v>-8.0046303051964918E-3</v>
      </c>
      <c r="R466">
        <f t="shared" si="105"/>
        <v>2.2539954669889006E-3</v>
      </c>
      <c r="S466" s="3">
        <f t="shared" si="97"/>
        <v>1.9617745801274358E-2</v>
      </c>
      <c r="T466" s="3">
        <f t="shared" si="102"/>
        <v>-6.6879040620083929E-4</v>
      </c>
      <c r="V466" t="str">
        <f t="shared" si="103"/>
        <v>11-1</v>
      </c>
    </row>
    <row r="467" spans="1:22">
      <c r="A467" s="1">
        <v>45968</v>
      </c>
      <c r="B467" t="s">
        <v>7</v>
      </c>
      <c r="C467">
        <v>667.9099731</v>
      </c>
      <c r="D467">
        <v>671.08001709999996</v>
      </c>
      <c r="E467">
        <v>661.21002199999998</v>
      </c>
      <c r="F467">
        <v>670.96997069999998</v>
      </c>
      <c r="G467">
        <v>100592400</v>
      </c>
      <c r="H467">
        <f t="shared" si="106"/>
        <v>677.70600588000002</v>
      </c>
      <c r="I467">
        <f t="shared" si="98"/>
        <v>672.79700011999978</v>
      </c>
      <c r="J467" s="4">
        <f t="shared" si="99"/>
        <v>660.44854637903234</v>
      </c>
      <c r="K467">
        <f t="shared" si="104"/>
        <v>-3.4454446944096814E-3</v>
      </c>
      <c r="L467">
        <f t="shared" si="93"/>
        <v>1.3238474766239525E-3</v>
      </c>
      <c r="M467" s="3">
        <f t="shared" si="100"/>
        <v>7.1626017460098648E-4</v>
      </c>
      <c r="N467" t="str">
        <f t="shared" ca="1" si="101"/>
        <v>wait</v>
      </c>
      <c r="O467">
        <f t="shared" si="94"/>
        <v>-1.4454693768398696E-2</v>
      </c>
      <c r="P467">
        <f t="shared" si="95"/>
        <v>-1.0913299005512522E-2</v>
      </c>
      <c r="Q467">
        <f t="shared" si="96"/>
        <v>-1.3259488778370354E-2</v>
      </c>
      <c r="R467">
        <f t="shared" si="105"/>
        <v>-5.2548584731738623E-3</v>
      </c>
      <c r="S467" s="3">
        <f t="shared" si="97"/>
        <v>1.869707157153867E-2</v>
      </c>
      <c r="T467" s="3">
        <f t="shared" si="102"/>
        <v>-9.206742297356886E-4</v>
      </c>
      <c r="V467" t="str">
        <f t="shared" si="103"/>
        <v>11-1</v>
      </c>
    </row>
    <row r="468" spans="1:22">
      <c r="A468" s="1">
        <v>45971</v>
      </c>
      <c r="B468" t="s">
        <v>7</v>
      </c>
      <c r="C468">
        <v>677.23999019999997</v>
      </c>
      <c r="D468">
        <v>682.17999269999996</v>
      </c>
      <c r="E468">
        <v>675.03002930000002</v>
      </c>
      <c r="F468">
        <v>681.44000240000003</v>
      </c>
      <c r="G468">
        <v>75842900</v>
      </c>
      <c r="H468">
        <f t="shared" si="106"/>
        <v>675.4880005</v>
      </c>
      <c r="I468">
        <f t="shared" si="98"/>
        <v>673.69449767999981</v>
      </c>
      <c r="J468" s="4">
        <f t="shared" si="99"/>
        <v>660.90467490000003</v>
      </c>
      <c r="K468">
        <f t="shared" si="104"/>
        <v>-3.6204687894889715E-3</v>
      </c>
      <c r="L468">
        <f t="shared" si="93"/>
        <v>5.9800260641296936E-4</v>
      </c>
      <c r="M468" s="3">
        <f t="shared" si="100"/>
        <v>6.7401560756000592E-4</v>
      </c>
      <c r="N468" t="str">
        <f t="shared" ca="1" si="101"/>
        <v>wait</v>
      </c>
      <c r="O468">
        <f t="shared" si="94"/>
        <v>2.593665170518511E-3</v>
      </c>
      <c r="P468">
        <f t="shared" si="95"/>
        <v>-6.6885419084510289E-3</v>
      </c>
      <c r="Q468">
        <f t="shared" si="96"/>
        <v>-2.1137279255044272E-2</v>
      </c>
      <c r="R468">
        <f t="shared" si="105"/>
        <v>-7.8777904766739182E-3</v>
      </c>
      <c r="S468" s="3">
        <f t="shared" si="97"/>
        <v>1.9351993208301908E-2</v>
      </c>
      <c r="T468" s="3">
        <f t="shared" si="102"/>
        <v>6.5492163676323864E-4</v>
      </c>
      <c r="V468" t="str">
        <f t="shared" si="103"/>
        <v>111</v>
      </c>
    </row>
    <row r="469" spans="1:22">
      <c r="A469" s="1">
        <v>45972</v>
      </c>
      <c r="B469" t="s">
        <v>7</v>
      </c>
      <c r="C469">
        <v>679.95001219999995</v>
      </c>
      <c r="D469">
        <v>683.57000730000004</v>
      </c>
      <c r="E469">
        <v>678.72998050000001</v>
      </c>
      <c r="F469">
        <v>683</v>
      </c>
      <c r="G469">
        <v>58953400</v>
      </c>
      <c r="H469">
        <f t="shared" si="106"/>
        <v>675.10799559999998</v>
      </c>
      <c r="I469">
        <f t="shared" si="98"/>
        <v>674.61449889999983</v>
      </c>
      <c r="J469" s="4">
        <f t="shared" si="99"/>
        <v>661.49419083225814</v>
      </c>
      <c r="K469">
        <f t="shared" si="104"/>
        <v>1.836387740650157E-3</v>
      </c>
      <c r="L469">
        <f t="shared" si="93"/>
        <v>1.4504041243720174E-3</v>
      </c>
      <c r="M469" s="3">
        <f t="shared" si="100"/>
        <v>9.4296688398967166E-4</v>
      </c>
      <c r="N469" t="str">
        <f t="shared" ca="1" si="101"/>
        <v>wait</v>
      </c>
      <c r="O469">
        <f t="shared" si="94"/>
        <v>7.1722104190110603E-3</v>
      </c>
      <c r="P469">
        <f t="shared" si="95"/>
        <v>9.3792501959224506E-3</v>
      </c>
      <c r="Q469">
        <f t="shared" si="96"/>
        <v>-1.1548715243803187E-4</v>
      </c>
      <c r="R469">
        <f t="shared" si="105"/>
        <v>2.102179210260624E-2</v>
      </c>
      <c r="S469" s="3">
        <f t="shared" si="97"/>
        <v>1.9834351154670592E-2</v>
      </c>
      <c r="T469" s="3">
        <f t="shared" si="102"/>
        <v>4.8235794636868404E-4</v>
      </c>
      <c r="V469" t="str">
        <f t="shared" si="103"/>
        <v>111</v>
      </c>
    </row>
    <row r="470" spans="1:22">
      <c r="A470" s="1">
        <v>45973</v>
      </c>
      <c r="B470" t="s">
        <v>7</v>
      </c>
      <c r="C470">
        <v>684.78997800000002</v>
      </c>
      <c r="D470">
        <v>684.96002199999998</v>
      </c>
      <c r="E470">
        <v>680.95001219999995</v>
      </c>
      <c r="F470">
        <v>683.38000490000002</v>
      </c>
      <c r="G470">
        <v>62312500</v>
      </c>
      <c r="H470">
        <f t="shared" si="106"/>
        <v>676.65999755999997</v>
      </c>
      <c r="I470">
        <f t="shared" si="98"/>
        <v>675.65299987499998</v>
      </c>
      <c r="J470" s="4">
        <f t="shared" si="99"/>
        <v>662.10790031290321</v>
      </c>
      <c r="K470">
        <f t="shared" si="104"/>
        <v>1.5998060046685625E-3</v>
      </c>
      <c r="L470">
        <f t="shared" si="93"/>
        <v>1.3402602010289815E-3</v>
      </c>
      <c r="M470" s="3">
        <f t="shared" si="100"/>
        <v>1.0247005017935654E-3</v>
      </c>
      <c r="N470" t="str">
        <f t="shared" ca="1" si="101"/>
        <v>wait</v>
      </c>
      <c r="O470">
        <f t="shared" si="94"/>
        <v>1.2014867835125953E-2</v>
      </c>
      <c r="P470">
        <f t="shared" si="95"/>
        <v>9.3695540786535858E-3</v>
      </c>
      <c r="Q470">
        <f t="shared" si="96"/>
        <v>3.0591182387968985E-3</v>
      </c>
      <c r="R470">
        <f t="shared" si="105"/>
        <v>3.1746053912349304E-3</v>
      </c>
      <c r="S470" s="3">
        <f t="shared" si="97"/>
        <v>2.045754106799743E-2</v>
      </c>
      <c r="T470" s="3">
        <f t="shared" si="102"/>
        <v>6.2318991332683746E-4</v>
      </c>
      <c r="V470" t="str">
        <f t="shared" si="103"/>
        <v>111</v>
      </c>
    </row>
    <row r="471" spans="1:22">
      <c r="A471" s="1">
        <v>45974</v>
      </c>
      <c r="B471" t="s">
        <v>7</v>
      </c>
      <c r="C471">
        <v>680.5</v>
      </c>
      <c r="D471">
        <v>680.85998540000003</v>
      </c>
      <c r="E471">
        <v>670.52001949999999</v>
      </c>
      <c r="F471">
        <v>672.03997800000002</v>
      </c>
      <c r="G471">
        <v>103457800</v>
      </c>
      <c r="H471">
        <f t="shared" si="106"/>
        <v>677.81999512000004</v>
      </c>
      <c r="I471">
        <f t="shared" si="98"/>
        <v>676.56350097500001</v>
      </c>
      <c r="J471" s="4">
        <f t="shared" si="99"/>
        <v>662.75209390161308</v>
      </c>
      <c r="K471">
        <f t="shared" si="104"/>
        <v>3.8996903960246236E-3</v>
      </c>
      <c r="L471">
        <f t="shared" ref="L471:L534" si="107">(F470-F451)/F451/20</f>
        <v>1.7210575954719081E-3</v>
      </c>
      <c r="M471" s="3">
        <f t="shared" si="100"/>
        <v>1.0383962345226698E-3</v>
      </c>
      <c r="N471" t="str">
        <f t="shared" ca="1" si="101"/>
        <v>wait</v>
      </c>
      <c r="O471">
        <f t="shared" ref="O471:O534" si="108">C471/H471-1</f>
        <v>3.953859283135408E-3</v>
      </c>
      <c r="P471">
        <f t="shared" ref="P471:P534" si="109">F470/H471-1</f>
        <v>8.2027821841041959E-3</v>
      </c>
      <c r="Q471">
        <f t="shared" ref="Q471:Q534" si="110">E470/H471-1</f>
        <v>4.6177703557501726E-3</v>
      </c>
      <c r="R471">
        <f t="shared" si="105"/>
        <v>1.5586521169532741E-3</v>
      </c>
      <c r="S471" s="3">
        <f t="shared" ref="S471:S534" si="111">(I471-J471)/J471</f>
        <v>2.0839477084228213E-2</v>
      </c>
      <c r="T471" s="3">
        <f t="shared" si="102"/>
        <v>3.8193601623078346E-4</v>
      </c>
      <c r="V471" t="str">
        <f t="shared" si="103"/>
        <v>111</v>
      </c>
    </row>
    <row r="472" spans="1:22">
      <c r="A472" s="1">
        <v>45975</v>
      </c>
      <c r="B472" t="s">
        <v>7</v>
      </c>
      <c r="C472">
        <v>665.38000490000002</v>
      </c>
      <c r="D472">
        <v>675.6599731</v>
      </c>
      <c r="E472">
        <v>663.27001949999999</v>
      </c>
      <c r="F472">
        <v>671.92999269999996</v>
      </c>
      <c r="G472">
        <v>96846700</v>
      </c>
      <c r="H472">
        <f t="shared" si="106"/>
        <v>678.16599120000012</v>
      </c>
      <c r="I472">
        <f t="shared" si="98"/>
        <v>677.13349914500009</v>
      </c>
      <c r="J472" s="4">
        <f t="shared" si="99"/>
        <v>663.21564213064516</v>
      </c>
      <c r="K472">
        <f t="shared" si="104"/>
        <v>3.1894342421427327E-4</v>
      </c>
      <c r="L472">
        <f t="shared" si="107"/>
        <v>5.757133033227294E-4</v>
      </c>
      <c r="M472" s="3">
        <f t="shared" si="100"/>
        <v>8.3957165723413626E-4</v>
      </c>
      <c r="N472" t="str">
        <f t="shared" ca="1" si="101"/>
        <v>wait</v>
      </c>
      <c r="O472">
        <f t="shared" si="108"/>
        <v>-1.8853771002841913E-2</v>
      </c>
      <c r="P472">
        <f t="shared" si="109"/>
        <v>-9.0332061464188929E-3</v>
      </c>
      <c r="Q472">
        <f t="shared" si="110"/>
        <v>-1.1274484122199557E-2</v>
      </c>
      <c r="R472">
        <f t="shared" si="105"/>
        <v>-1.589225447794973E-2</v>
      </c>
      <c r="S472" s="3">
        <f t="shared" si="111"/>
        <v>2.0985417306567809E-2</v>
      </c>
      <c r="T472" s="3">
        <f t="shared" si="102"/>
        <v>1.459402223395953E-4</v>
      </c>
      <c r="V472" t="str">
        <f t="shared" si="103"/>
        <v>111</v>
      </c>
    </row>
    <row r="473" spans="1:22">
      <c r="A473" s="1">
        <v>45978</v>
      </c>
      <c r="B473" t="s">
        <v>7</v>
      </c>
      <c r="C473">
        <v>669.70001219999995</v>
      </c>
      <c r="D473">
        <v>673.71002199999998</v>
      </c>
      <c r="E473">
        <v>662.16998290000004</v>
      </c>
      <c r="F473">
        <v>665.66998290000004</v>
      </c>
      <c r="G473">
        <v>90456100</v>
      </c>
      <c r="H473">
        <f t="shared" si="106"/>
        <v>678.35799560000009</v>
      </c>
      <c r="I473">
        <f t="shared" si="98"/>
        <v>677.51049805000002</v>
      </c>
      <c r="J473" s="4">
        <f t="shared" si="99"/>
        <v>663.73370656774205</v>
      </c>
      <c r="K473">
        <f t="shared" si="104"/>
        <v>-2.7911509939264664E-3</v>
      </c>
      <c r="L473">
        <f t="shared" si="107"/>
        <v>4.6924244856950633E-5</v>
      </c>
      <c r="M473" s="3">
        <f t="shared" si="100"/>
        <v>8.8333798440718174E-4</v>
      </c>
      <c r="N473" t="str">
        <f t="shared" ca="1" si="101"/>
        <v>wait</v>
      </c>
      <c r="O473">
        <f t="shared" si="108"/>
        <v>-1.2763147860212487E-2</v>
      </c>
      <c r="P473">
        <f t="shared" si="109"/>
        <v>-9.4758268372949761E-3</v>
      </c>
      <c r="Q473">
        <f t="shared" si="110"/>
        <v>-2.2241907956955576E-2</v>
      </c>
      <c r="R473">
        <f t="shared" si="105"/>
        <v>-1.0967423834756018E-2</v>
      </c>
      <c r="S473" s="3">
        <f t="shared" si="111"/>
        <v>2.0756504221398749E-2</v>
      </c>
      <c r="T473" s="3">
        <f t="shared" si="102"/>
        <v>-2.2891308516906003E-4</v>
      </c>
      <c r="V473" t="str">
        <f t="shared" si="103"/>
        <v>11-1</v>
      </c>
    </row>
    <row r="474" spans="1:22">
      <c r="A474" s="1">
        <v>45979</v>
      </c>
      <c r="B474" t="s">
        <v>7</v>
      </c>
      <c r="C474">
        <v>662.09997559999999</v>
      </c>
      <c r="D474">
        <v>665.11999509999998</v>
      </c>
      <c r="E474">
        <v>655.85998540000003</v>
      </c>
      <c r="F474">
        <v>660.08001709999996</v>
      </c>
      <c r="G474">
        <v>114467500</v>
      </c>
      <c r="H474">
        <f t="shared" si="106"/>
        <v>675.20399169999996</v>
      </c>
      <c r="I474">
        <f t="shared" si="98"/>
        <v>677.22899780500006</v>
      </c>
      <c r="J474" s="4">
        <f t="shared" si="99"/>
        <v>664.17822265645157</v>
      </c>
      <c r="K474">
        <f t="shared" si="104"/>
        <v>-5.0746755783308822E-3</v>
      </c>
      <c r="L474">
        <f t="shared" si="107"/>
        <v>-4.1859667834933642E-4</v>
      </c>
      <c r="M474" s="3">
        <f t="shared" si="100"/>
        <v>7.898669309569815E-4</v>
      </c>
      <c r="N474" t="str">
        <f t="shared" ca="1" si="101"/>
        <v>wait</v>
      </c>
      <c r="O474">
        <f t="shared" si="108"/>
        <v>-1.9407492048450714E-2</v>
      </c>
      <c r="P474">
        <f t="shared" si="109"/>
        <v>-1.4120190219841011E-2</v>
      </c>
      <c r="Q474">
        <f t="shared" si="110"/>
        <v>-1.9303808864019723E-2</v>
      </c>
      <c r="R474">
        <f t="shared" si="105"/>
        <v>2.938099092935853E-3</v>
      </c>
      <c r="S474" s="3">
        <f t="shared" si="111"/>
        <v>1.9649507772703734E-2</v>
      </c>
      <c r="T474" s="3">
        <f t="shared" si="102"/>
        <v>-1.1069964486950142E-3</v>
      </c>
      <c r="V474" t="str">
        <f t="shared" si="103"/>
        <v>11-1</v>
      </c>
    </row>
    <row r="475" spans="1:22">
      <c r="A475" s="1">
        <v>45980</v>
      </c>
      <c r="B475" t="s">
        <v>7</v>
      </c>
      <c r="C475">
        <v>660.78002930000002</v>
      </c>
      <c r="D475">
        <v>667.3400269</v>
      </c>
      <c r="E475">
        <v>658.75</v>
      </c>
      <c r="F475">
        <v>662.63000490000002</v>
      </c>
      <c r="G475">
        <v>94703000</v>
      </c>
      <c r="H475">
        <f t="shared" si="106"/>
        <v>670.61999512</v>
      </c>
      <c r="I475">
        <f t="shared" si="98"/>
        <v>676.66849976000015</v>
      </c>
      <c r="J475" s="4">
        <f t="shared" si="99"/>
        <v>664.57386829032259</v>
      </c>
      <c r="K475">
        <f t="shared" si="104"/>
        <v>-6.8190428847591401E-3</v>
      </c>
      <c r="L475">
        <f t="shared" si="107"/>
        <v>-5.7801518725934375E-4</v>
      </c>
      <c r="M475" s="3">
        <f t="shared" si="100"/>
        <v>3.8147090945777484E-4</v>
      </c>
      <c r="N475" t="str">
        <f t="shared" ca="1" si="101"/>
        <v>wait</v>
      </c>
      <c r="O475">
        <f t="shared" si="108"/>
        <v>-1.4672938313208594E-2</v>
      </c>
      <c r="P475">
        <f t="shared" si="109"/>
        <v>-1.5716766718406605E-2</v>
      </c>
      <c r="Q475">
        <f t="shared" si="110"/>
        <v>-2.2009498415505591E-2</v>
      </c>
      <c r="R475">
        <f t="shared" si="105"/>
        <v>-2.7056895514858681E-3</v>
      </c>
      <c r="S475" s="3">
        <f t="shared" si="111"/>
        <v>1.8199077704924065E-2</v>
      </c>
      <c r="T475" s="3">
        <f t="shared" si="102"/>
        <v>-1.4504300677796698E-3</v>
      </c>
      <c r="V475" t="str">
        <f t="shared" si="103"/>
        <v>11-1</v>
      </c>
    </row>
    <row r="476" spans="1:22">
      <c r="A476" s="1">
        <v>45981</v>
      </c>
      <c r="B476" t="s">
        <v>7</v>
      </c>
      <c r="C476">
        <v>672.9099731</v>
      </c>
      <c r="D476">
        <v>675.55999759999997</v>
      </c>
      <c r="E476">
        <v>651.89001459999997</v>
      </c>
      <c r="F476">
        <v>652.53002930000002</v>
      </c>
      <c r="G476">
        <v>165293500</v>
      </c>
      <c r="H476">
        <f t="shared" si="106"/>
        <v>666.46999512000002</v>
      </c>
      <c r="I476">
        <f t="shared" si="98"/>
        <v>676.41000061500006</v>
      </c>
      <c r="J476" s="4">
        <f t="shared" si="99"/>
        <v>664.85322324677429</v>
      </c>
      <c r="K476">
        <f t="shared" si="104"/>
        <v>-2.8004206321190022E-3</v>
      </c>
      <c r="L476">
        <f t="shared" si="107"/>
        <v>-6.795585303387031E-4</v>
      </c>
      <c r="M476" s="3">
        <f t="shared" si="100"/>
        <v>5.2298252887043558E-4</v>
      </c>
      <c r="N476" t="str">
        <f t="shared" ca="1" si="101"/>
        <v>wait</v>
      </c>
      <c r="O476">
        <f t="shared" si="108"/>
        <v>9.6628175719155607E-3</v>
      </c>
      <c r="P476">
        <f t="shared" si="109"/>
        <v>-5.7616850692709942E-3</v>
      </c>
      <c r="Q476">
        <f t="shared" si="110"/>
        <v>-1.1583409870702499E-2</v>
      </c>
      <c r="R476">
        <f t="shared" si="105"/>
        <v>1.0426088544803092E-2</v>
      </c>
      <c r="S476" s="3">
        <f t="shared" si="111"/>
        <v>1.7382449184481466E-2</v>
      </c>
      <c r="T476" s="3">
        <f t="shared" si="102"/>
        <v>-8.1662852044259854E-4</v>
      </c>
      <c r="V476" t="str">
        <f t="shared" si="103"/>
        <v>11-1</v>
      </c>
    </row>
    <row r="477" spans="1:22">
      <c r="A477" s="1">
        <v>45982</v>
      </c>
      <c r="B477" t="s">
        <v>7</v>
      </c>
      <c r="C477">
        <v>655.04998780000005</v>
      </c>
      <c r="D477">
        <v>664.54998780000005</v>
      </c>
      <c r="E477">
        <v>650.84997559999999</v>
      </c>
      <c r="F477">
        <v>659.03002930000002</v>
      </c>
      <c r="G477">
        <v>123956200</v>
      </c>
      <c r="H477">
        <f t="shared" si="106"/>
        <v>662.56800538000005</v>
      </c>
      <c r="I477">
        <f t="shared" si="98"/>
        <v>675.44850158999998</v>
      </c>
      <c r="J477" s="4">
        <f t="shared" si="99"/>
        <v>665.01548225645183</v>
      </c>
      <c r="K477">
        <f t="shared" si="104"/>
        <v>-5.7744001937003976E-3</v>
      </c>
      <c r="L477">
        <f t="shared" si="107"/>
        <v>-1.8250255223329626E-3</v>
      </c>
      <c r="M477" s="3">
        <f t="shared" si="100"/>
        <v>1.9039350722547228E-4</v>
      </c>
      <c r="N477" t="str">
        <f t="shared" ca="1" si="101"/>
        <v>wait</v>
      </c>
      <c r="O477">
        <f t="shared" si="108"/>
        <v>-1.1346786320731272E-2</v>
      </c>
      <c r="P477">
        <f t="shared" si="109"/>
        <v>-1.5150106854681211E-2</v>
      </c>
      <c r="Q477">
        <f t="shared" si="110"/>
        <v>-1.6116067623693886E-2</v>
      </c>
      <c r="R477">
        <f t="shared" si="105"/>
        <v>-4.532657752991387E-3</v>
      </c>
      <c r="S477" s="3">
        <f t="shared" si="111"/>
        <v>1.5688385626975269E-2</v>
      </c>
      <c r="T477" s="3">
        <f t="shared" si="102"/>
        <v>-1.6940635575061966E-3</v>
      </c>
      <c r="V477" t="str">
        <f t="shared" si="103"/>
        <v>11-1</v>
      </c>
    </row>
    <row r="478" spans="1:22">
      <c r="A478" s="1">
        <v>45985</v>
      </c>
      <c r="B478" t="s">
        <v>7</v>
      </c>
      <c r="C478">
        <v>662.69000240000003</v>
      </c>
      <c r="D478">
        <v>670.05999759999997</v>
      </c>
      <c r="E478">
        <v>661.5900269</v>
      </c>
      <c r="F478">
        <v>668.72998050000001</v>
      </c>
      <c r="G478">
        <v>80437900</v>
      </c>
      <c r="H478">
        <f t="shared" si="106"/>
        <v>659.98801270000001</v>
      </c>
      <c r="I478">
        <f t="shared" si="98"/>
        <v>674.537503055</v>
      </c>
      <c r="J478" s="4">
        <f t="shared" si="99"/>
        <v>665.23919284032286</v>
      </c>
      <c r="K478">
        <f t="shared" si="104"/>
        <v>-1.9949686092417649E-3</v>
      </c>
      <c r="L478">
        <f t="shared" si="107"/>
        <v>-1.9124657984679265E-3</v>
      </c>
      <c r="M478" s="3">
        <f t="shared" si="100"/>
        <v>3.1960637732128452E-4</v>
      </c>
      <c r="N478" t="str">
        <f t="shared" ca="1" si="101"/>
        <v>wait</v>
      </c>
      <c r="O478">
        <f t="shared" si="108"/>
        <v>4.093998145430211E-3</v>
      </c>
      <c r="P478">
        <f t="shared" si="109"/>
        <v>-1.4515163632758954E-3</v>
      </c>
      <c r="Q478">
        <f t="shared" si="110"/>
        <v>-1.3845762232281289E-2</v>
      </c>
      <c r="R478">
        <f t="shared" si="105"/>
        <v>2.270305391412597E-3</v>
      </c>
      <c r="S478" s="3">
        <f t="shared" si="111"/>
        <v>1.3977393867876053E-2</v>
      </c>
      <c r="T478" s="3">
        <f t="shared" si="102"/>
        <v>-1.710991759099216E-3</v>
      </c>
      <c r="V478" t="str">
        <f t="shared" si="103"/>
        <v>11-1</v>
      </c>
    </row>
    <row r="479" spans="1:22">
      <c r="A479" s="1">
        <v>45986</v>
      </c>
      <c r="B479" t="s">
        <v>7</v>
      </c>
      <c r="C479">
        <v>668.63000490000002</v>
      </c>
      <c r="D479">
        <v>676.21002199999998</v>
      </c>
      <c r="E479">
        <v>664.47998050000001</v>
      </c>
      <c r="F479">
        <v>675.02001949999999</v>
      </c>
      <c r="G479">
        <v>81077100</v>
      </c>
      <c r="H479">
        <f t="shared" si="106"/>
        <v>660.60001222000005</v>
      </c>
      <c r="I479">
        <f t="shared" si="98"/>
        <v>673.71200256999998</v>
      </c>
      <c r="J479" s="4">
        <f t="shared" si="99"/>
        <v>665.59564405967774</v>
      </c>
      <c r="K479">
        <f t="shared" si="104"/>
        <v>2.6208832795765746E-3</v>
      </c>
      <c r="L479">
        <f t="shared" si="107"/>
        <v>-1.3339458827489133E-3</v>
      </c>
      <c r="M479" s="3">
        <f t="shared" si="100"/>
        <v>5.0879405067965928E-4</v>
      </c>
      <c r="N479" t="str">
        <f t="shared" ca="1" si="101"/>
        <v>wait</v>
      </c>
      <c r="O479">
        <f t="shared" si="108"/>
        <v>1.2155604800875741E-2</v>
      </c>
      <c r="P479">
        <f t="shared" si="109"/>
        <v>1.2306945397531077E-2</v>
      </c>
      <c r="Q479">
        <f t="shared" si="110"/>
        <v>1.4986597966792914E-3</v>
      </c>
      <c r="R479">
        <f t="shared" si="105"/>
        <v>1.534442202896058E-2</v>
      </c>
      <c r="S479" s="3">
        <f t="shared" si="111"/>
        <v>1.2194128045697554E-2</v>
      </c>
      <c r="T479" s="3">
        <f t="shared" si="102"/>
        <v>-1.7832658221784998E-3</v>
      </c>
      <c r="V479" t="str">
        <f t="shared" si="103"/>
        <v>11-1</v>
      </c>
    </row>
    <row r="480" spans="1:22">
      <c r="A480" s="1">
        <v>45987</v>
      </c>
      <c r="B480" t="s">
        <v>7</v>
      </c>
      <c r="C480">
        <v>677.63000490000002</v>
      </c>
      <c r="D480">
        <v>681.70001219999995</v>
      </c>
      <c r="E480">
        <v>676.71997069999998</v>
      </c>
      <c r="F480">
        <v>679.67999269999996</v>
      </c>
      <c r="G480">
        <v>71879600</v>
      </c>
      <c r="H480">
        <f t="shared" si="106"/>
        <v>663.58801270000004</v>
      </c>
      <c r="I480">
        <f t="shared" si="98"/>
        <v>673.11000366500002</v>
      </c>
      <c r="J480" s="4">
        <f t="shared" si="99"/>
        <v>666.01661239193584</v>
      </c>
      <c r="K480">
        <f t="shared" si="104"/>
        <v>3.739647920673256E-3</v>
      </c>
      <c r="L480">
        <f t="shared" si="107"/>
        <v>-8.9977995295714502E-4</v>
      </c>
      <c r="M480" s="3">
        <f t="shared" si="100"/>
        <v>7.7435941055812273E-4</v>
      </c>
      <c r="N480" t="str">
        <f t="shared" ca="1" si="101"/>
        <v>wait</v>
      </c>
      <c r="O480">
        <f t="shared" si="108"/>
        <v>2.1160708046647825E-2</v>
      </c>
      <c r="P480">
        <f t="shared" si="109"/>
        <v>1.7227566775182668E-2</v>
      </c>
      <c r="Q480">
        <f t="shared" si="110"/>
        <v>1.3441590006588733E-3</v>
      </c>
      <c r="R480">
        <f t="shared" si="105"/>
        <v>-1.5450079602041811E-4</v>
      </c>
      <c r="S480" s="3">
        <f t="shared" si="111"/>
        <v>1.0650471986860718E-2</v>
      </c>
      <c r="T480" s="3">
        <f t="shared" si="102"/>
        <v>-1.5436560588368356E-3</v>
      </c>
      <c r="V480" t="str">
        <f t="shared" si="103"/>
        <v>11-1</v>
      </c>
    </row>
    <row r="481" spans="1:22">
      <c r="A481" s="1">
        <v>45989</v>
      </c>
      <c r="B481" t="s">
        <v>7</v>
      </c>
      <c r="C481">
        <v>680.85998540000003</v>
      </c>
      <c r="D481">
        <v>683.66998290000004</v>
      </c>
      <c r="E481">
        <v>680.5</v>
      </c>
      <c r="F481">
        <v>683.39001459999997</v>
      </c>
      <c r="G481">
        <v>49212000</v>
      </c>
      <c r="H481">
        <f t="shared" si="106"/>
        <v>666.99801026</v>
      </c>
      <c r="I481">
        <f t="shared" si="98"/>
        <v>672.72450256999991</v>
      </c>
      <c r="J481" s="4">
        <f t="shared" si="99"/>
        <v>666.57516085806469</v>
      </c>
      <c r="K481">
        <f t="shared" si="104"/>
        <v>8.3214448932334931E-3</v>
      </c>
      <c r="L481">
        <f t="shared" si="107"/>
        <v>-1.1033964095905659E-5</v>
      </c>
      <c r="M481" s="3">
        <f t="shared" si="100"/>
        <v>1.0258685658585114E-3</v>
      </c>
      <c r="N481" t="str">
        <f t="shared" ca="1" si="101"/>
        <v>wait</v>
      </c>
      <c r="O481">
        <f t="shared" si="108"/>
        <v>2.0782633421345009E-2</v>
      </c>
      <c r="P481">
        <f t="shared" si="109"/>
        <v>1.9013523646129737E-2</v>
      </c>
      <c r="Q481">
        <f t="shared" si="110"/>
        <v>1.457569631461153E-2</v>
      </c>
      <c r="R481">
        <f t="shared" si="105"/>
        <v>1.3231537313952657E-2</v>
      </c>
      <c r="S481" s="3">
        <f t="shared" si="111"/>
        <v>9.2252788177995346E-3</v>
      </c>
      <c r="T481" s="3">
        <f t="shared" si="102"/>
        <v>-1.4251931690611834E-3</v>
      </c>
      <c r="V481" t="str">
        <f t="shared" si="103"/>
        <v>11-1</v>
      </c>
    </row>
    <row r="482" spans="1:22">
      <c r="A482" s="1">
        <v>45992</v>
      </c>
      <c r="B482" t="s">
        <v>7</v>
      </c>
      <c r="C482">
        <v>678.80999759999997</v>
      </c>
      <c r="D482">
        <v>682.98999019999997</v>
      </c>
      <c r="E482">
        <v>678.73999019999997</v>
      </c>
      <c r="F482">
        <v>680.27001949999999</v>
      </c>
      <c r="G482">
        <v>61201200</v>
      </c>
      <c r="H482">
        <f t="shared" si="106"/>
        <v>673.17000732000008</v>
      </c>
      <c r="I482">
        <f t="shared" ref="I482:I545" si="112">AVERAGE(F462:F481)</f>
        <v>672.90250244499998</v>
      </c>
      <c r="J482" s="4">
        <f t="shared" si="99"/>
        <v>667.27064465000035</v>
      </c>
      <c r="K482">
        <f t="shared" si="104"/>
        <v>7.392678396119315E-3</v>
      </c>
      <c r="L482">
        <f t="shared" si="107"/>
        <v>9.7500000343078171E-5</v>
      </c>
      <c r="M482" s="3">
        <f t="shared" si="100"/>
        <v>1.0265538106381887E-3</v>
      </c>
      <c r="N482" t="str">
        <f t="shared" ca="1" si="101"/>
        <v>wait</v>
      </c>
      <c r="O482">
        <f t="shared" si="108"/>
        <v>8.3782554461295788E-3</v>
      </c>
      <c r="P482">
        <f t="shared" si="109"/>
        <v>1.5181911209454224E-2</v>
      </c>
      <c r="Q482">
        <f t="shared" si="110"/>
        <v>1.0888768959243844E-2</v>
      </c>
      <c r="R482">
        <f t="shared" si="105"/>
        <v>-3.6869273553676862E-3</v>
      </c>
      <c r="S482" s="3">
        <f t="shared" si="111"/>
        <v>8.4401402042100608E-3</v>
      </c>
      <c r="T482" s="3">
        <f t="shared" si="102"/>
        <v>-7.8513861358947383E-4</v>
      </c>
      <c r="V482" t="str">
        <f t="shared" si="103"/>
        <v>11-1</v>
      </c>
    </row>
    <row r="483" spans="1:22">
      <c r="A483" s="1">
        <v>45993</v>
      </c>
      <c r="B483" t="s">
        <v>7</v>
      </c>
      <c r="C483">
        <v>681.91998290000004</v>
      </c>
      <c r="D483">
        <v>683.82000730000004</v>
      </c>
      <c r="E483">
        <v>679.33001709999996</v>
      </c>
      <c r="F483">
        <v>681.53002930000002</v>
      </c>
      <c r="G483">
        <v>62953800</v>
      </c>
      <c r="H483">
        <f t="shared" si="106"/>
        <v>677.41800535999994</v>
      </c>
      <c r="I483">
        <f t="shared" si="112"/>
        <v>672.81300353999995</v>
      </c>
      <c r="J483" s="4">
        <f t="shared" si="99"/>
        <v>667.85983867096797</v>
      </c>
      <c r="K483">
        <f t="shared" si="104"/>
        <v>3.4513299348031779E-3</v>
      </c>
      <c r="L483">
        <f t="shared" si="107"/>
        <v>-2.2463248742556635E-4</v>
      </c>
      <c r="M483" s="3">
        <f t="shared" si="100"/>
        <v>7.9980138842180226E-4</v>
      </c>
      <c r="N483" t="str">
        <f t="shared" ca="1" si="101"/>
        <v>wait</v>
      </c>
      <c r="O483">
        <f t="shared" si="108"/>
        <v>6.6457896075666767E-3</v>
      </c>
      <c r="P483">
        <f t="shared" si="109"/>
        <v>4.2101244983654418E-3</v>
      </c>
      <c r="Q483">
        <f t="shared" si="110"/>
        <v>1.9515053180458874E-3</v>
      </c>
      <c r="R483">
        <f t="shared" si="105"/>
        <v>-8.9372636411979567E-3</v>
      </c>
      <c r="S483" s="3">
        <f t="shared" si="111"/>
        <v>7.4164736105238951E-3</v>
      </c>
      <c r="T483" s="3">
        <f t="shared" si="102"/>
        <v>-1.0236665936861657E-3</v>
      </c>
      <c r="V483" t="str">
        <f t="shared" si="103"/>
        <v>11-1</v>
      </c>
    </row>
    <row r="484" spans="1:22">
      <c r="A484" s="1">
        <v>45994</v>
      </c>
      <c r="B484" t="s">
        <v>7</v>
      </c>
      <c r="C484">
        <v>680.57000730000004</v>
      </c>
      <c r="D484">
        <v>684.9099731</v>
      </c>
      <c r="E484">
        <v>679.69000240000003</v>
      </c>
      <c r="F484">
        <v>683.89001459999997</v>
      </c>
      <c r="G484">
        <v>57238500</v>
      </c>
      <c r="H484">
        <f t="shared" si="106"/>
        <v>679.97801512000001</v>
      </c>
      <c r="I484">
        <f t="shared" si="112"/>
        <v>672.72250366000003</v>
      </c>
      <c r="J484" s="4">
        <f t="shared" si="99"/>
        <v>668.38258115806468</v>
      </c>
      <c r="K484">
        <f t="shared" si="104"/>
        <v>1.9288345862163083E-3</v>
      </c>
      <c r="L484">
        <f t="shared" si="107"/>
        <v>4.657632242824515E-4</v>
      </c>
      <c r="M484" s="3">
        <f t="shared" si="100"/>
        <v>8.829810585252488E-4</v>
      </c>
      <c r="N484" t="str">
        <f t="shared" ca="1" si="101"/>
        <v>wait</v>
      </c>
      <c r="O484">
        <f t="shared" si="108"/>
        <v>8.7060488256462953E-4</v>
      </c>
      <c r="P484">
        <f t="shared" si="109"/>
        <v>2.282447587259373E-3</v>
      </c>
      <c r="Q484">
        <f t="shared" si="110"/>
        <v>-9.5296907486885907E-4</v>
      </c>
      <c r="R484">
        <f t="shared" si="105"/>
        <v>-2.9044743929147465E-3</v>
      </c>
      <c r="S484" s="3">
        <f t="shared" si="111"/>
        <v>6.4931711631620263E-3</v>
      </c>
      <c r="T484" s="3">
        <f t="shared" si="102"/>
        <v>-9.2330244736186888E-4</v>
      </c>
      <c r="V484" t="str">
        <f t="shared" si="103"/>
        <v>11-1</v>
      </c>
    </row>
    <row r="485" spans="1:22">
      <c r="A485" s="1">
        <v>45995</v>
      </c>
      <c r="B485" t="s">
        <v>7</v>
      </c>
      <c r="C485">
        <v>685.29998780000005</v>
      </c>
      <c r="D485">
        <v>685.36999509999998</v>
      </c>
      <c r="E485">
        <v>681.3400269</v>
      </c>
      <c r="F485">
        <v>684.39001459999997</v>
      </c>
      <c r="G485">
        <v>61970300</v>
      </c>
      <c r="H485">
        <f t="shared" si="106"/>
        <v>681.75201413999991</v>
      </c>
      <c r="I485">
        <f t="shared" si="112"/>
        <v>673.15500487999998</v>
      </c>
      <c r="J485" s="4">
        <f t="shared" si="99"/>
        <v>668.97371058387137</v>
      </c>
      <c r="K485">
        <f t="shared" si="104"/>
        <v>1.2388247249344156E-3</v>
      </c>
      <c r="L485">
        <f t="shared" si="107"/>
        <v>4.6562747872984828E-4</v>
      </c>
      <c r="M485" s="3">
        <f t="shared" si="100"/>
        <v>9.0059534279624323E-4</v>
      </c>
      <c r="N485" t="str">
        <f t="shared" ca="1" si="101"/>
        <v>wait</v>
      </c>
      <c r="O485">
        <f t="shared" si="108"/>
        <v>5.204199747727456E-3</v>
      </c>
      <c r="P485">
        <f t="shared" si="109"/>
        <v>3.1360383477518905E-3</v>
      </c>
      <c r="Q485">
        <f t="shared" si="110"/>
        <v>-3.0245774082545696E-3</v>
      </c>
      <c r="R485">
        <f t="shared" si="105"/>
        <v>-2.0716083333857105E-3</v>
      </c>
      <c r="S485" s="3">
        <f t="shared" si="111"/>
        <v>6.2503118283665209E-3</v>
      </c>
      <c r="T485" s="3">
        <f t="shared" si="102"/>
        <v>-2.4285933479550534E-4</v>
      </c>
      <c r="V485" t="str">
        <f t="shared" si="103"/>
        <v>11-1</v>
      </c>
    </row>
    <row r="486" spans="1:22">
      <c r="A486" s="1">
        <v>45996</v>
      </c>
      <c r="B486" t="s">
        <v>7</v>
      </c>
      <c r="C486">
        <v>685.46997069999998</v>
      </c>
      <c r="D486">
        <v>688.39001459999997</v>
      </c>
      <c r="E486">
        <v>684.58001709999996</v>
      </c>
      <c r="F486">
        <v>685.69000240000003</v>
      </c>
      <c r="G486">
        <v>79241000</v>
      </c>
      <c r="H486">
        <f t="shared" si="106"/>
        <v>682.69401851999999</v>
      </c>
      <c r="I486">
        <f t="shared" si="112"/>
        <v>673.49550475499996</v>
      </c>
      <c r="J486" s="4">
        <f t="shared" si="99"/>
        <v>669.54725893064551</v>
      </c>
      <c r="K486">
        <f t="shared" si="104"/>
        <v>2.9265865132235429E-4</v>
      </c>
      <c r="L486">
        <f t="shared" si="107"/>
        <v>1.0502615991416326E-3</v>
      </c>
      <c r="M486" s="3">
        <f t="shared" si="100"/>
        <v>8.7289008668457507E-4</v>
      </c>
      <c r="N486" t="str">
        <f t="shared" ca="1" si="101"/>
        <v>wait</v>
      </c>
      <c r="O486">
        <f t="shared" si="108"/>
        <v>4.0661732850946208E-3</v>
      </c>
      <c r="P486">
        <f t="shared" si="109"/>
        <v>2.4842697225861965E-3</v>
      </c>
      <c r="Q486">
        <f t="shared" si="110"/>
        <v>-1.9833066985635028E-3</v>
      </c>
      <c r="R486">
        <f t="shared" si="105"/>
        <v>1.0412707096910667E-3</v>
      </c>
      <c r="S486" s="3">
        <f t="shared" si="111"/>
        <v>5.8968889375490968E-3</v>
      </c>
      <c r="T486" s="3">
        <f t="shared" si="102"/>
        <v>-3.534228908174241E-4</v>
      </c>
      <c r="V486" t="str">
        <f t="shared" si="103"/>
        <v>11-1</v>
      </c>
    </row>
    <row r="487" spans="1:22">
      <c r="A487" s="1">
        <v>45999</v>
      </c>
      <c r="B487" t="s">
        <v>7</v>
      </c>
      <c r="C487">
        <v>686.5900269</v>
      </c>
      <c r="D487">
        <v>686.64001459999997</v>
      </c>
      <c r="E487">
        <v>681.57000730000004</v>
      </c>
      <c r="F487">
        <v>683.63000490000002</v>
      </c>
      <c r="G487">
        <v>55231500</v>
      </c>
      <c r="H487">
        <f t="shared" si="106"/>
        <v>683.15401608000002</v>
      </c>
      <c r="I487">
        <f t="shared" si="112"/>
        <v>674.26450499499992</v>
      </c>
      <c r="J487" s="4">
        <f t="shared" si="99"/>
        <v>670.11758127419387</v>
      </c>
      <c r="K487">
        <f t="shared" si="104"/>
        <v>1.5934798667104973E-3</v>
      </c>
      <c r="L487">
        <f t="shared" si="107"/>
        <v>1.0969217955196374E-3</v>
      </c>
      <c r="M487" s="3">
        <f t="shared" si="100"/>
        <v>8.5555212969931041E-4</v>
      </c>
      <c r="N487" t="str">
        <f t="shared" ca="1" si="101"/>
        <v>wait</v>
      </c>
      <c r="O487">
        <f t="shared" si="108"/>
        <v>5.0296283694797328E-3</v>
      </c>
      <c r="P487">
        <f t="shared" si="109"/>
        <v>3.7121736245535608E-3</v>
      </c>
      <c r="Q487">
        <f t="shared" si="110"/>
        <v>2.0873785214385876E-3</v>
      </c>
      <c r="R487">
        <f t="shared" si="105"/>
        <v>4.0706852200020904E-3</v>
      </c>
      <c r="S487" s="3">
        <f t="shared" si="111"/>
        <v>6.1883523678350552E-3</v>
      </c>
      <c r="T487" s="3">
        <f t="shared" si="102"/>
        <v>2.9146343028595839E-4</v>
      </c>
      <c r="V487" t="str">
        <f t="shared" si="103"/>
        <v>111</v>
      </c>
    </row>
    <row r="488" spans="1:22">
      <c r="A488" s="1">
        <v>46000</v>
      </c>
      <c r="B488" t="s">
        <v>7</v>
      </c>
      <c r="C488">
        <v>683.15002440000001</v>
      </c>
      <c r="D488">
        <v>685.39001459999997</v>
      </c>
      <c r="E488">
        <v>682.5900269</v>
      </c>
      <c r="F488">
        <v>683.03997800000002</v>
      </c>
      <c r="G488">
        <v>58310100</v>
      </c>
      <c r="H488">
        <f t="shared" si="106"/>
        <v>683.82601316000012</v>
      </c>
      <c r="I488">
        <f t="shared" si="112"/>
        <v>674.89750670499996</v>
      </c>
      <c r="J488" s="4">
        <f t="shared" si="99"/>
        <v>670.62435519193559</v>
      </c>
      <c r="K488">
        <f t="shared" si="104"/>
        <v>6.1625328590638319E-4</v>
      </c>
      <c r="L488">
        <f t="shared" si="107"/>
        <v>1.6068931177263621E-4</v>
      </c>
      <c r="M488" s="3">
        <f t="shared" si="100"/>
        <v>6.5893181592166928E-4</v>
      </c>
      <c r="N488" t="str">
        <f t="shared" ca="1" si="101"/>
        <v>wait</v>
      </c>
      <c r="O488">
        <f t="shared" si="108"/>
        <v>-9.8853911227558822E-4</v>
      </c>
      <c r="P488">
        <f t="shared" si="109"/>
        <v>-2.8663469395429075E-4</v>
      </c>
      <c r="Q488">
        <f t="shared" si="110"/>
        <v>-3.2990933608607609E-3</v>
      </c>
      <c r="R488">
        <f t="shared" si="105"/>
        <v>-5.3864718822993485E-3</v>
      </c>
      <c r="S488" s="3">
        <f t="shared" si="111"/>
        <v>6.3719002746945698E-3</v>
      </c>
      <c r="T488" s="3">
        <f t="shared" si="102"/>
        <v>1.8354790685951462E-4</v>
      </c>
      <c r="V488" t="str">
        <f t="shared" si="103"/>
        <v>111</v>
      </c>
    </row>
    <row r="489" spans="1:22">
      <c r="A489" s="1">
        <v>46001</v>
      </c>
      <c r="B489" t="s">
        <v>7</v>
      </c>
      <c r="C489">
        <v>682.55999759999997</v>
      </c>
      <c r="D489">
        <v>688.96997069999998</v>
      </c>
      <c r="E489">
        <v>681.30999759999997</v>
      </c>
      <c r="F489">
        <v>687.57000730000004</v>
      </c>
      <c r="G489">
        <v>85671300</v>
      </c>
      <c r="H489">
        <f t="shared" si="106"/>
        <v>684.12800289999996</v>
      </c>
      <c r="I489">
        <f t="shared" si="112"/>
        <v>674.97750548500005</v>
      </c>
      <c r="J489" s="4">
        <f t="shared" si="99"/>
        <v>671.03419346774228</v>
      </c>
      <c r="K489">
        <f t="shared" si="104"/>
        <v>-2.4858868585678369E-4</v>
      </c>
      <c r="L489">
        <f t="shared" si="107"/>
        <v>2.9266471449501583E-6</v>
      </c>
      <c r="M489" s="3">
        <f t="shared" si="100"/>
        <v>6.497722362181998E-4</v>
      </c>
      <c r="N489" t="str">
        <f t="shared" ca="1" si="101"/>
        <v>wait</v>
      </c>
      <c r="O489">
        <f t="shared" si="108"/>
        <v>-2.291976491757719E-3</v>
      </c>
      <c r="P489">
        <f t="shared" si="109"/>
        <v>-1.5903820562640503E-3</v>
      </c>
      <c r="Q489">
        <f t="shared" si="110"/>
        <v>-2.2480822206962792E-3</v>
      </c>
      <c r="R489">
        <f t="shared" si="105"/>
        <v>1.0510111401644817E-3</v>
      </c>
      <c r="S489" s="3">
        <f t="shared" si="111"/>
        <v>5.8764695683832229E-3</v>
      </c>
      <c r="T489" s="3">
        <f t="shared" si="102"/>
        <v>-4.9543070631134691E-4</v>
      </c>
      <c r="V489" t="str">
        <f t="shared" si="103"/>
        <v>11-1</v>
      </c>
    </row>
    <row r="490" spans="1:22">
      <c r="A490" s="1">
        <v>46002</v>
      </c>
      <c r="B490" t="s">
        <v>7</v>
      </c>
      <c r="C490">
        <v>685.14001459999997</v>
      </c>
      <c r="D490">
        <v>689.25</v>
      </c>
      <c r="E490">
        <v>682.16998290000004</v>
      </c>
      <c r="F490">
        <v>689.16998290000004</v>
      </c>
      <c r="G490">
        <v>86173700</v>
      </c>
      <c r="H490">
        <f t="shared" si="106"/>
        <v>684.86400144000004</v>
      </c>
      <c r="I490">
        <f t="shared" si="112"/>
        <v>675.20600585000011</v>
      </c>
      <c r="J490" s="4">
        <f t="shared" si="99"/>
        <v>671.52064563225815</v>
      </c>
      <c r="K490">
        <f t="shared" si="104"/>
        <v>9.2929254727909961E-4</v>
      </c>
      <c r="L490">
        <f t="shared" si="107"/>
        <v>3.0656460314588475E-4</v>
      </c>
      <c r="M490" s="3">
        <f t="shared" si="100"/>
        <v>6.723062465666612E-4</v>
      </c>
      <c r="N490" t="str">
        <f t="shared" ca="1" si="101"/>
        <v>wait</v>
      </c>
      <c r="O490">
        <f t="shared" si="108"/>
        <v>4.0301893429872671E-4</v>
      </c>
      <c r="P490">
        <f t="shared" si="109"/>
        <v>3.9511579734230473E-3</v>
      </c>
      <c r="Q490">
        <f t="shared" si="110"/>
        <v>-5.1893570585216375E-3</v>
      </c>
      <c r="R490">
        <f t="shared" si="105"/>
        <v>-2.9412748378253584E-3</v>
      </c>
      <c r="S490" s="3">
        <f t="shared" si="111"/>
        <v>5.4880817763571128E-3</v>
      </c>
      <c r="T490" s="3">
        <f t="shared" si="102"/>
        <v>-3.8838779202611008E-4</v>
      </c>
      <c r="V490" t="str">
        <f t="shared" si="103"/>
        <v>11-1</v>
      </c>
    </row>
    <row r="491" spans="1:22">
      <c r="A491" s="1">
        <v>46003</v>
      </c>
      <c r="B491" t="s">
        <v>7</v>
      </c>
      <c r="C491">
        <v>688.16998290000004</v>
      </c>
      <c r="D491">
        <v>688.88000490000002</v>
      </c>
      <c r="E491">
        <v>679.16998290000004</v>
      </c>
      <c r="F491">
        <v>681.76000980000003</v>
      </c>
      <c r="G491">
        <v>113160300</v>
      </c>
      <c r="H491">
        <f t="shared" si="106"/>
        <v>685.81999510000003</v>
      </c>
      <c r="I491">
        <f t="shared" si="112"/>
        <v>675.49550475000001</v>
      </c>
      <c r="J491" s="4">
        <f t="shared" si="99"/>
        <v>671.97645224193548</v>
      </c>
      <c r="K491">
        <f t="shared" si="104"/>
        <v>1.0150302579356992E-3</v>
      </c>
      <c r="L491">
        <f t="shared" si="107"/>
        <v>1.2744781159432761E-3</v>
      </c>
      <c r="M491" s="3">
        <f t="shared" si="100"/>
        <v>7.3661572979798065E-4</v>
      </c>
      <c r="N491" t="str">
        <f t="shared" ca="1" si="101"/>
        <v>wait</v>
      </c>
      <c r="O491">
        <f t="shared" si="108"/>
        <v>3.4265373083171013E-3</v>
      </c>
      <c r="P491">
        <f t="shared" si="109"/>
        <v>4.8846458603346576E-3</v>
      </c>
      <c r="Q491">
        <f t="shared" si="110"/>
        <v>-5.3221140037886805E-3</v>
      </c>
      <c r="R491">
        <f t="shared" si="105"/>
        <v>-1.3275694526704296E-4</v>
      </c>
      <c r="S491" s="3">
        <f t="shared" si="111"/>
        <v>5.236868786582939E-3</v>
      </c>
      <c r="T491" s="3">
        <f t="shared" si="102"/>
        <v>-2.5121298977417387E-4</v>
      </c>
      <c r="V491" t="str">
        <f t="shared" si="103"/>
        <v>11-1</v>
      </c>
    </row>
    <row r="492" spans="1:22">
      <c r="A492" s="1">
        <v>46006</v>
      </c>
      <c r="B492" t="s">
        <v>7</v>
      </c>
      <c r="C492">
        <v>685.73999019999997</v>
      </c>
      <c r="D492">
        <v>685.76000980000003</v>
      </c>
      <c r="E492">
        <v>679.25</v>
      </c>
      <c r="F492">
        <v>680.72998050000001</v>
      </c>
      <c r="G492">
        <v>90811000</v>
      </c>
      <c r="H492">
        <f t="shared" si="106"/>
        <v>685.03399658000001</v>
      </c>
      <c r="I492">
        <f t="shared" si="112"/>
        <v>675.98150634000012</v>
      </c>
      <c r="J492" s="4">
        <f t="shared" si="99"/>
        <v>672.32742014193548</v>
      </c>
      <c r="K492">
        <f t="shared" si="104"/>
        <v>-5.4707812313578076E-4</v>
      </c>
      <c r="L492">
        <f t="shared" si="107"/>
        <v>7.314762852377194E-4</v>
      </c>
      <c r="M492" s="3">
        <f t="shared" si="100"/>
        <v>5.7091177296184742E-4</v>
      </c>
      <c r="N492" t="str">
        <f t="shared" ca="1" si="101"/>
        <v>wait</v>
      </c>
      <c r="O492">
        <f t="shared" si="108"/>
        <v>1.0305964718899663E-3</v>
      </c>
      <c r="P492">
        <f t="shared" si="109"/>
        <v>-4.779305547381929E-3</v>
      </c>
      <c r="Q492">
        <f t="shared" si="110"/>
        <v>-8.560179070346563E-3</v>
      </c>
      <c r="R492">
        <f t="shared" si="105"/>
        <v>-3.2380650665578825E-3</v>
      </c>
      <c r="S492" s="3">
        <f t="shared" si="111"/>
        <v>5.4349801727456397E-3</v>
      </c>
      <c r="T492" s="3">
        <f t="shared" si="102"/>
        <v>1.9811138616270072E-4</v>
      </c>
      <c r="V492" t="str">
        <f t="shared" si="103"/>
        <v>111</v>
      </c>
    </row>
    <row r="493" spans="1:22">
      <c r="A493" s="1">
        <v>46007</v>
      </c>
      <c r="B493" t="s">
        <v>7</v>
      </c>
      <c r="C493">
        <v>679.22998050000001</v>
      </c>
      <c r="D493">
        <v>681.08001709999996</v>
      </c>
      <c r="E493">
        <v>674.97998050000001</v>
      </c>
      <c r="F493">
        <v>678.86999509999998</v>
      </c>
      <c r="G493">
        <v>122030600</v>
      </c>
      <c r="H493">
        <f t="shared" si="106"/>
        <v>684.45399169999996</v>
      </c>
      <c r="I493">
        <f t="shared" si="112"/>
        <v>676.42150573000015</v>
      </c>
      <c r="J493" s="4">
        <f t="shared" si="99"/>
        <v>672.67500059032261</v>
      </c>
      <c r="K493">
        <f t="shared" si="104"/>
        <v>-6.763872026243268E-4</v>
      </c>
      <c r="L493">
        <f t="shared" si="107"/>
        <v>1.131190979529443E-3</v>
      </c>
      <c r="M493" s="3">
        <f t="shared" si="100"/>
        <v>4.6482173231774017E-4</v>
      </c>
      <c r="N493" t="str">
        <f t="shared" ca="1" si="101"/>
        <v>wait</v>
      </c>
      <c r="O493">
        <f t="shared" si="108"/>
        <v>-7.632377432740034E-3</v>
      </c>
      <c r="P493">
        <f t="shared" si="109"/>
        <v>-5.4408495606118601E-3</v>
      </c>
      <c r="Q493">
        <f t="shared" si="110"/>
        <v>-7.6031285712493402E-3</v>
      </c>
      <c r="R493">
        <f t="shared" si="105"/>
        <v>9.5705049909722284E-4</v>
      </c>
      <c r="S493" s="3">
        <f t="shared" si="111"/>
        <v>5.5695620268178536E-3</v>
      </c>
      <c r="T493" s="3">
        <f t="shared" si="102"/>
        <v>1.3458185407221393E-4</v>
      </c>
      <c r="V493" t="str">
        <f t="shared" si="103"/>
        <v>111</v>
      </c>
    </row>
    <row r="494" spans="1:22">
      <c r="A494" s="1">
        <v>46008</v>
      </c>
      <c r="B494" t="s">
        <v>7</v>
      </c>
      <c r="C494">
        <v>679.89001459999997</v>
      </c>
      <c r="D494">
        <v>680.44000240000003</v>
      </c>
      <c r="E494">
        <v>671.20001219999995</v>
      </c>
      <c r="F494">
        <v>671.40002440000001</v>
      </c>
      <c r="G494">
        <v>110625200</v>
      </c>
      <c r="H494">
        <f t="shared" si="106"/>
        <v>683.61999512</v>
      </c>
      <c r="I494">
        <f t="shared" si="112"/>
        <v>677.08150634000015</v>
      </c>
      <c r="J494" s="4">
        <f t="shared" si="99"/>
        <v>672.9429035790323</v>
      </c>
      <c r="K494">
        <f t="shared" si="104"/>
        <v>-2.5306549464436069E-3</v>
      </c>
      <c r="L494">
        <f t="shared" si="107"/>
        <v>1.4233106224418091E-3</v>
      </c>
      <c r="M494" s="3">
        <f t="shared" si="100"/>
        <v>3.8094476975411747E-4</v>
      </c>
      <c r="N494" t="str">
        <f t="shared" ca="1" si="101"/>
        <v>wait</v>
      </c>
      <c r="O494">
        <f t="shared" si="108"/>
        <v>-5.4562191665346038E-3</v>
      </c>
      <c r="P494">
        <f t="shared" si="109"/>
        <v>-6.9483046925306047E-3</v>
      </c>
      <c r="Q494">
        <f t="shared" si="110"/>
        <v>-1.2638621868401256E-2</v>
      </c>
      <c r="R494">
        <f t="shared" si="105"/>
        <v>-5.0354932971519162E-3</v>
      </c>
      <c r="S494" s="3">
        <f t="shared" si="111"/>
        <v>6.1500058013195065E-3</v>
      </c>
      <c r="T494" s="3">
        <f t="shared" si="102"/>
        <v>5.8044377450165285E-4</v>
      </c>
      <c r="V494" t="str">
        <f t="shared" si="103"/>
        <v>111</v>
      </c>
    </row>
    <row r="495" spans="1:22">
      <c r="A495" s="1">
        <v>46009</v>
      </c>
      <c r="B495" t="s">
        <v>7</v>
      </c>
      <c r="C495">
        <v>677.59997559999999</v>
      </c>
      <c r="D495">
        <v>680.73999019999997</v>
      </c>
      <c r="E495">
        <v>674.90002440000001</v>
      </c>
      <c r="F495">
        <v>676.46997069999998</v>
      </c>
      <c r="G495">
        <v>108650100</v>
      </c>
      <c r="H495">
        <f t="shared" si="106"/>
        <v>680.38599854000006</v>
      </c>
      <c r="I495">
        <f t="shared" si="112"/>
        <v>677.64750670500007</v>
      </c>
      <c r="J495" s="4">
        <f t="shared" si="99"/>
        <v>673.06709732419358</v>
      </c>
      <c r="K495">
        <f t="shared" si="104"/>
        <v>-5.1569159832599637E-3</v>
      </c>
      <c r="L495">
        <f t="shared" si="107"/>
        <v>6.617584047769996E-4</v>
      </c>
      <c r="M495" s="3">
        <f t="shared" si="100"/>
        <v>1.1397030062313657E-4</v>
      </c>
      <c r="N495" t="str">
        <f t="shared" ca="1" si="101"/>
        <v>wait</v>
      </c>
      <c r="O495">
        <f t="shared" si="108"/>
        <v>-4.0947681844988315E-3</v>
      </c>
      <c r="P495">
        <f t="shared" si="109"/>
        <v>-1.3207170869598328E-2</v>
      </c>
      <c r="Q495">
        <f t="shared" si="110"/>
        <v>-1.3501139587986488E-2</v>
      </c>
      <c r="R495">
        <f t="shared" si="105"/>
        <v>-8.6251771958523182E-4</v>
      </c>
      <c r="S495" s="3">
        <f t="shared" si="111"/>
        <v>6.8052789967242427E-3</v>
      </c>
      <c r="T495" s="3">
        <f t="shared" si="102"/>
        <v>6.5527319540473628E-4</v>
      </c>
      <c r="V495" t="str">
        <f t="shared" si="103"/>
        <v>111</v>
      </c>
    </row>
    <row r="496" spans="1:22">
      <c r="A496" s="1">
        <v>46010</v>
      </c>
      <c r="B496" t="s">
        <v>7</v>
      </c>
      <c r="C496">
        <v>676.5900269</v>
      </c>
      <c r="D496">
        <v>681.0900269</v>
      </c>
      <c r="E496">
        <v>676.46997069999998</v>
      </c>
      <c r="F496">
        <v>680.5900269</v>
      </c>
      <c r="G496">
        <v>103599500</v>
      </c>
      <c r="H496">
        <f t="shared" si="106"/>
        <v>677.84599609999998</v>
      </c>
      <c r="I496">
        <f t="shared" si="112"/>
        <v>678.33950499500008</v>
      </c>
      <c r="J496" s="4">
        <f t="shared" si="99"/>
        <v>673.22241899838707</v>
      </c>
      <c r="K496">
        <f t="shared" si="104"/>
        <v>-1.5518772072160511E-3</v>
      </c>
      <c r="L496">
        <f t="shared" si="107"/>
        <v>1.8343938458802781E-3</v>
      </c>
      <c r="M496" s="3">
        <f t="shared" si="100"/>
        <v>3.332264858325677E-4</v>
      </c>
      <c r="N496" t="str">
        <f t="shared" ca="1" si="101"/>
        <v>wait</v>
      </c>
      <c r="O496">
        <f t="shared" si="108"/>
        <v>-1.852882818849988E-3</v>
      </c>
      <c r="P496">
        <f t="shared" si="109"/>
        <v>-2.0299970906622056E-3</v>
      </c>
      <c r="Q496">
        <f t="shared" si="110"/>
        <v>-4.3460781902521228E-3</v>
      </c>
      <c r="R496">
        <f t="shared" si="105"/>
        <v>9.1550613977343653E-3</v>
      </c>
      <c r="S496" s="3">
        <f t="shared" si="111"/>
        <v>7.6008847183463646E-3</v>
      </c>
      <c r="T496" s="3">
        <f t="shared" si="102"/>
        <v>7.9560572162212188E-4</v>
      </c>
      <c r="V496" t="str">
        <f t="shared" si="103"/>
        <v>111</v>
      </c>
    </row>
    <row r="497" spans="1:22">
      <c r="A497" s="1">
        <v>46013</v>
      </c>
      <c r="B497" t="s">
        <v>7</v>
      </c>
      <c r="C497">
        <v>683.94000240000003</v>
      </c>
      <c r="D497">
        <v>685.35998540000003</v>
      </c>
      <c r="E497">
        <v>680.5900269</v>
      </c>
      <c r="F497">
        <v>684.83001709999996</v>
      </c>
      <c r="G497">
        <v>69556700</v>
      </c>
      <c r="H497">
        <f t="shared" si="106"/>
        <v>677.61199951999993</v>
      </c>
      <c r="I497">
        <f t="shared" si="112"/>
        <v>679.74250487500001</v>
      </c>
      <c r="J497" s="4">
        <f t="shared" si="99"/>
        <v>673.50274165806445</v>
      </c>
      <c r="K497">
        <f t="shared" si="104"/>
        <v>-4.1118682593417101E-5</v>
      </c>
      <c r="L497">
        <f t="shared" si="107"/>
        <v>1.6357371167820905E-3</v>
      </c>
      <c r="M497" s="3">
        <f t="shared" si="100"/>
        <v>4.9135410727934301E-4</v>
      </c>
      <c r="N497" t="str">
        <f t="shared" ca="1" si="101"/>
        <v>wait</v>
      </c>
      <c r="O497">
        <f t="shared" si="108"/>
        <v>9.3386818481411282E-3</v>
      </c>
      <c r="P497">
        <f t="shared" si="109"/>
        <v>4.3948858374847077E-3</v>
      </c>
      <c r="Q497">
        <f t="shared" si="110"/>
        <v>-1.6853727808966434E-3</v>
      </c>
      <c r="R497">
        <f t="shared" si="105"/>
        <v>2.6607054093554794E-3</v>
      </c>
      <c r="S497" s="3">
        <f t="shared" si="111"/>
        <v>9.2646441224191311E-3</v>
      </c>
      <c r="T497" s="3">
        <f t="shared" si="102"/>
        <v>1.6637594040727665E-3</v>
      </c>
      <c r="V497" t="str">
        <f t="shared" si="103"/>
        <v>111</v>
      </c>
    </row>
    <row r="498" spans="1:22">
      <c r="A498" s="1">
        <v>46014</v>
      </c>
      <c r="B498" t="s">
        <v>7</v>
      </c>
      <c r="C498">
        <v>683.91998290000004</v>
      </c>
      <c r="D498">
        <v>688.20001219999995</v>
      </c>
      <c r="E498">
        <v>683.86999509999998</v>
      </c>
      <c r="F498">
        <v>687.96002199999998</v>
      </c>
      <c r="G498">
        <v>64840000</v>
      </c>
      <c r="H498">
        <f t="shared" si="106"/>
        <v>678.43200683999999</v>
      </c>
      <c r="I498">
        <f t="shared" si="112"/>
        <v>681.03250426499994</v>
      </c>
      <c r="J498" s="4">
        <f t="shared" si="99"/>
        <v>673.88548426290311</v>
      </c>
      <c r="K498">
        <f t="shared" si="104"/>
        <v>1.7558654950192779E-3</v>
      </c>
      <c r="L498">
        <f t="shared" si="107"/>
        <v>1.2037770901165655E-3</v>
      </c>
      <c r="M498" s="3">
        <f t="shared" si="100"/>
        <v>6.7826735041642253E-4</v>
      </c>
      <c r="N498" t="str">
        <f t="shared" ca="1" si="101"/>
        <v>wait</v>
      </c>
      <c r="O498">
        <f t="shared" si="108"/>
        <v>8.0892057047277088E-3</v>
      </c>
      <c r="P498">
        <f t="shared" si="109"/>
        <v>9.4305843407958001E-3</v>
      </c>
      <c r="Q498">
        <f t="shared" si="110"/>
        <v>3.1808936462942583E-3</v>
      </c>
      <c r="R498">
        <f t="shared" si="105"/>
        <v>4.8662664271909017E-3</v>
      </c>
      <c r="S498" s="3">
        <f t="shared" si="111"/>
        <v>1.0605689199425714E-2</v>
      </c>
      <c r="T498" s="3">
        <f t="shared" si="102"/>
        <v>1.3410450770065824E-3</v>
      </c>
      <c r="V498" t="str">
        <f t="shared" si="103"/>
        <v>111</v>
      </c>
    </row>
    <row r="499" spans="1:22">
      <c r="A499" s="1">
        <v>46015</v>
      </c>
      <c r="B499" t="s">
        <v>7</v>
      </c>
      <c r="C499">
        <v>687.95001219999995</v>
      </c>
      <c r="D499">
        <v>690.83001709999996</v>
      </c>
      <c r="E499">
        <v>687.79998780000005</v>
      </c>
      <c r="F499">
        <v>690.38000490000002</v>
      </c>
      <c r="G499">
        <v>39445600</v>
      </c>
      <c r="H499">
        <f t="shared" si="106"/>
        <v>680.25001221999992</v>
      </c>
      <c r="I499">
        <f t="shared" si="112"/>
        <v>681.99400633999994</v>
      </c>
      <c r="J499" s="4">
        <f t="shared" si="99"/>
        <v>674.36790416935469</v>
      </c>
      <c r="K499">
        <f t="shared" si="104"/>
        <v>4.9329749771155878E-3</v>
      </c>
      <c r="L499">
        <f t="shared" si="107"/>
        <v>9.5849027630209361E-4</v>
      </c>
      <c r="M499" s="3">
        <f t="shared" si="100"/>
        <v>6.5828610024051414E-4</v>
      </c>
      <c r="N499" t="str">
        <f t="shared" ca="1" si="101"/>
        <v>wait</v>
      </c>
      <c r="O499">
        <f t="shared" si="108"/>
        <v>1.1319367646714262E-2</v>
      </c>
      <c r="P499">
        <f t="shared" si="109"/>
        <v>1.1334082530683576E-2</v>
      </c>
      <c r="Q499">
        <f t="shared" si="110"/>
        <v>5.321547688306838E-3</v>
      </c>
      <c r="R499">
        <f t="shared" si="105"/>
        <v>2.1406540420125797E-3</v>
      </c>
      <c r="S499" s="3">
        <f t="shared" si="111"/>
        <v>1.1308518871518096E-2</v>
      </c>
      <c r="T499" s="3">
        <f t="shared" si="102"/>
        <v>7.0282967209238205E-4</v>
      </c>
      <c r="V499" t="str">
        <f t="shared" si="103"/>
        <v>111</v>
      </c>
    </row>
    <row r="500" spans="1:22">
      <c r="A500" s="1">
        <v>46017</v>
      </c>
      <c r="B500" t="s">
        <v>7</v>
      </c>
      <c r="C500">
        <v>690.64001459999997</v>
      </c>
      <c r="D500">
        <v>691.6599731</v>
      </c>
      <c r="E500">
        <v>689.27001949999999</v>
      </c>
      <c r="F500">
        <v>690.30999759999997</v>
      </c>
      <c r="G500">
        <v>41613300</v>
      </c>
      <c r="H500">
        <f t="shared" si="106"/>
        <v>684.04600831999994</v>
      </c>
      <c r="I500">
        <f t="shared" si="112"/>
        <v>682.76200560999985</v>
      </c>
      <c r="J500" s="4">
        <f t="shared" si="99"/>
        <v>674.82854929193525</v>
      </c>
      <c r="K500">
        <f t="shared" si="104"/>
        <v>4.1125356046791458E-3</v>
      </c>
      <c r="L500">
        <f t="shared" si="107"/>
        <v>7.8713602834583341E-4</v>
      </c>
      <c r="M500" s="3">
        <f t="shared" si="100"/>
        <v>6.7050417102822873E-4</v>
      </c>
      <c r="N500" t="str">
        <f t="shared" ca="1" si="101"/>
        <v>wait</v>
      </c>
      <c r="O500">
        <f t="shared" si="108"/>
        <v>9.6397116565225538E-3</v>
      </c>
      <c r="P500">
        <f t="shared" si="109"/>
        <v>9.2596060834506666E-3</v>
      </c>
      <c r="Q500">
        <f t="shared" si="110"/>
        <v>5.4879049571823213E-3</v>
      </c>
      <c r="R500">
        <f t="shared" si="105"/>
        <v>1.663572688754833E-4</v>
      </c>
      <c r="S500" s="3">
        <f t="shared" si="111"/>
        <v>1.1756254720386074E-2</v>
      </c>
      <c r="T500" s="3">
        <f t="shared" si="102"/>
        <v>4.4773584886797883E-4</v>
      </c>
      <c r="V500" t="str">
        <f t="shared" si="103"/>
        <v>111</v>
      </c>
    </row>
    <row r="501" spans="1:22">
      <c r="A501" s="1">
        <v>46020</v>
      </c>
      <c r="B501" t="s">
        <v>7</v>
      </c>
      <c r="C501">
        <v>687.53997800000002</v>
      </c>
      <c r="D501">
        <v>689.20001219999995</v>
      </c>
      <c r="E501">
        <v>686.07000730000004</v>
      </c>
      <c r="F501">
        <v>687.84997559999999</v>
      </c>
      <c r="G501">
        <v>62559500</v>
      </c>
      <c r="H501">
        <f t="shared" si="106"/>
        <v>686.81401369999992</v>
      </c>
      <c r="I501">
        <f t="shared" si="112"/>
        <v>683.29350585499992</v>
      </c>
      <c r="J501" s="4">
        <f t="shared" si="99"/>
        <v>675.25806549999982</v>
      </c>
      <c r="K501">
        <f t="shared" si="104"/>
        <v>2.8563365068022496E-3</v>
      </c>
      <c r="L501">
        <f t="shared" si="107"/>
        <v>5.0629822298840495E-4</v>
      </c>
      <c r="M501" s="3">
        <f t="shared" si="100"/>
        <v>6.0369082341150547E-4</v>
      </c>
      <c r="N501" t="str">
        <f t="shared" ca="1" si="101"/>
        <v>wait</v>
      </c>
      <c r="O501">
        <f t="shared" si="108"/>
        <v>1.0570027482246225E-3</v>
      </c>
      <c r="P501">
        <f t="shared" si="109"/>
        <v>5.0901464301325028E-3</v>
      </c>
      <c r="Q501">
        <f t="shared" si="110"/>
        <v>3.5759401395569768E-3</v>
      </c>
      <c r="R501">
        <f t="shared" si="105"/>
        <v>-1.9119648176253445E-3</v>
      </c>
      <c r="S501" s="3">
        <f t="shared" si="111"/>
        <v>1.1899806556253726E-2</v>
      </c>
      <c r="T501" s="3">
        <f t="shared" si="102"/>
        <v>1.4355183586765158E-4</v>
      </c>
      <c r="V501" t="str">
        <f t="shared" si="103"/>
        <v>111</v>
      </c>
    </row>
    <row r="502" spans="1:22">
      <c r="A502" s="1">
        <v>46021</v>
      </c>
      <c r="B502" t="s">
        <v>7</v>
      </c>
      <c r="C502">
        <v>687.45001219999995</v>
      </c>
      <c r="D502">
        <v>688.55999759999997</v>
      </c>
      <c r="E502">
        <v>686.58001709999996</v>
      </c>
      <c r="F502">
        <v>687.01000980000003</v>
      </c>
      <c r="G502">
        <v>47160700</v>
      </c>
      <c r="H502">
        <f t="shared" si="106"/>
        <v>688.26600343999996</v>
      </c>
      <c r="I502">
        <f t="shared" si="112"/>
        <v>683.51650390499992</v>
      </c>
      <c r="J502" s="4">
        <f t="shared" si="99"/>
        <v>675.60758135322556</v>
      </c>
      <c r="K502">
        <f t="shared" si="104"/>
        <v>8.8195856624054812E-4</v>
      </c>
      <c r="L502">
        <f t="shared" si="107"/>
        <v>5.5712848447821422E-4</v>
      </c>
      <c r="M502" s="3">
        <f t="shared" si="100"/>
        <v>4.8370516483227036E-4</v>
      </c>
      <c r="N502" t="str">
        <f t="shared" ca="1" si="101"/>
        <v>wait</v>
      </c>
      <c r="O502">
        <f t="shared" si="108"/>
        <v>-1.1855753966077964E-3</v>
      </c>
      <c r="P502">
        <f t="shared" si="109"/>
        <v>-6.0445792458241332E-4</v>
      </c>
      <c r="Q502">
        <f t="shared" si="110"/>
        <v>-3.1906212554799751E-3</v>
      </c>
      <c r="R502">
        <f t="shared" si="105"/>
        <v>-6.7665613950369519E-3</v>
      </c>
      <c r="S502" s="3">
        <f t="shared" si="111"/>
        <v>1.1706385141405588E-2</v>
      </c>
      <c r="T502" s="3">
        <f t="shared" si="102"/>
        <v>-1.9342141484813766E-4</v>
      </c>
      <c r="V502" t="str">
        <f t="shared" si="103"/>
        <v>11-1</v>
      </c>
    </row>
    <row r="503" spans="1:22">
      <c r="A503" s="1">
        <v>46022</v>
      </c>
      <c r="B503" t="s">
        <v>7</v>
      </c>
      <c r="C503">
        <v>687.14001459999997</v>
      </c>
      <c r="D503">
        <v>687.35998540000003</v>
      </c>
      <c r="E503">
        <v>681.71002199999998</v>
      </c>
      <c r="F503">
        <v>681.91998290000004</v>
      </c>
      <c r="G503">
        <v>74144800</v>
      </c>
      <c r="H503">
        <f t="shared" si="106"/>
        <v>688.70200197999998</v>
      </c>
      <c r="I503">
        <f t="shared" si="112"/>
        <v>683.85350341999992</v>
      </c>
      <c r="J503" s="4">
        <f t="shared" si="99"/>
        <v>675.90693615322573</v>
      </c>
      <c r="K503">
        <f t="shared" si="104"/>
        <v>-2.7618238549330891E-4</v>
      </c>
      <c r="L503">
        <f t="shared" si="107"/>
        <v>4.0203514624502328E-4</v>
      </c>
      <c r="M503" s="3">
        <f t="shared" si="100"/>
        <v>4.4305409977010962E-4</v>
      </c>
      <c r="N503" t="str">
        <f t="shared" ca="1" si="101"/>
        <v>wait</v>
      </c>
      <c r="O503">
        <f t="shared" si="108"/>
        <v>-2.2680163198441905E-3</v>
      </c>
      <c r="P503">
        <f t="shared" si="109"/>
        <v>-2.45678417535522E-3</v>
      </c>
      <c r="Q503">
        <f t="shared" si="110"/>
        <v>-3.0811365059189022E-3</v>
      </c>
      <c r="R503">
        <f t="shared" si="105"/>
        <v>1.094847495610729E-4</v>
      </c>
      <c r="S503" s="3">
        <f t="shared" si="111"/>
        <v>1.1756895575003741E-2</v>
      </c>
      <c r="T503" s="3">
        <f t="shared" si="102"/>
        <v>5.0510433598152313E-5</v>
      </c>
      <c r="V503" t="str">
        <f t="shared" si="103"/>
        <v>111</v>
      </c>
    </row>
    <row r="504" spans="1:22">
      <c r="A504" s="1">
        <v>46024</v>
      </c>
      <c r="B504" t="s">
        <v>7</v>
      </c>
      <c r="C504">
        <v>685.71002199999998</v>
      </c>
      <c r="D504">
        <v>686.86999509999998</v>
      </c>
      <c r="E504">
        <v>679.82000730000004</v>
      </c>
      <c r="F504">
        <v>683.16998290000004</v>
      </c>
      <c r="G504">
        <v>89377200</v>
      </c>
      <c r="H504">
        <f t="shared" si="106"/>
        <v>687.49399415999994</v>
      </c>
      <c r="I504">
        <f t="shared" si="112"/>
        <v>683.87300110000001</v>
      </c>
      <c r="J504" s="4">
        <f t="shared" si="99"/>
        <v>676.11177505967714</v>
      </c>
      <c r="K504">
        <f t="shared" si="104"/>
        <v>-2.4508305396896296E-3</v>
      </c>
      <c r="L504">
        <f t="shared" si="107"/>
        <v>-1.4403132506271397E-4</v>
      </c>
      <c r="M504" s="3">
        <f t="shared" si="100"/>
        <v>3.1654140658800176E-4</v>
      </c>
      <c r="N504" t="str">
        <f t="shared" ca="1" si="101"/>
        <v>wait</v>
      </c>
      <c r="O504">
        <f t="shared" si="108"/>
        <v>-2.5948912647297817E-3</v>
      </c>
      <c r="P504">
        <f t="shared" si="109"/>
        <v>-8.1077235690042437E-3</v>
      </c>
      <c r="Q504">
        <f t="shared" si="110"/>
        <v>-8.4131239096378874E-3</v>
      </c>
      <c r="R504">
        <f t="shared" si="105"/>
        <v>-5.3319874037189852E-3</v>
      </c>
      <c r="S504" s="3">
        <f t="shared" si="111"/>
        <v>1.1479205549463802E-2</v>
      </c>
      <c r="T504" s="3">
        <f t="shared" si="102"/>
        <v>-2.776900255399388E-4</v>
      </c>
      <c r="V504" t="str">
        <f t="shared" si="103"/>
        <v>11-1</v>
      </c>
    </row>
    <row r="505" spans="1:22">
      <c r="A505" s="1">
        <v>46027</v>
      </c>
      <c r="B505" t="s">
        <v>7</v>
      </c>
      <c r="C505">
        <v>686.53997800000002</v>
      </c>
      <c r="D505">
        <v>689.42999269999996</v>
      </c>
      <c r="E505">
        <v>686.38000490000002</v>
      </c>
      <c r="F505">
        <v>687.71997069999998</v>
      </c>
      <c r="G505">
        <v>71927200</v>
      </c>
      <c r="H505">
        <f t="shared" si="106"/>
        <v>686.05198975999997</v>
      </c>
      <c r="I505">
        <f t="shared" si="112"/>
        <v>683.836999515</v>
      </c>
      <c r="J505" s="4">
        <f t="shared" si="99"/>
        <v>676.33693571935453</v>
      </c>
      <c r="K505">
        <f t="shared" si="104"/>
        <v>-2.068640096427292E-3</v>
      </c>
      <c r="L505">
        <f t="shared" si="107"/>
        <v>-8.9132780576364653E-5</v>
      </c>
      <c r="M505" s="3">
        <f t="shared" si="100"/>
        <v>2.8687278210321875E-4</v>
      </c>
      <c r="N505" t="str">
        <f t="shared" ca="1" si="101"/>
        <v>wait</v>
      </c>
      <c r="O505">
        <f t="shared" si="108"/>
        <v>7.1129921242674143E-4</v>
      </c>
      <c r="P505">
        <f t="shared" si="109"/>
        <v>-4.2008578110940276E-3</v>
      </c>
      <c r="Q505">
        <f t="shared" si="110"/>
        <v>-9.0838341015234692E-3</v>
      </c>
      <c r="R505">
        <f t="shared" si="105"/>
        <v>-6.7071019188558179E-4</v>
      </c>
      <c r="S505" s="3">
        <f t="shared" si="111"/>
        <v>1.108924176626311E-2</v>
      </c>
      <c r="T505" s="3">
        <f t="shared" si="102"/>
        <v>-3.8996378320069192E-4</v>
      </c>
      <c r="V505" t="str">
        <f t="shared" si="103"/>
        <v>11-1</v>
      </c>
    </row>
    <row r="506" spans="1:22">
      <c r="A506" s="1">
        <v>46028</v>
      </c>
      <c r="B506" t="s">
        <v>7</v>
      </c>
      <c r="C506">
        <v>687.92999269999996</v>
      </c>
      <c r="D506">
        <v>692.32000730000004</v>
      </c>
      <c r="E506">
        <v>687.78002930000002</v>
      </c>
      <c r="F506">
        <v>691.80999759999997</v>
      </c>
      <c r="G506">
        <v>69273800</v>
      </c>
      <c r="H506">
        <f t="shared" si="106"/>
        <v>685.53398437999999</v>
      </c>
      <c r="I506">
        <f t="shared" si="112"/>
        <v>684.00349732000018</v>
      </c>
      <c r="J506" s="4">
        <f t="shared" si="99"/>
        <v>676.5967741919352</v>
      </c>
      <c r="K506">
        <f t="shared" si="104"/>
        <v>-3.7800364792225545E-5</v>
      </c>
      <c r="L506">
        <f t="shared" si="107"/>
        <v>1.4802376386521677E-4</v>
      </c>
      <c r="M506" s="3">
        <f t="shared" si="100"/>
        <v>4.6329446975651022E-4</v>
      </c>
      <c r="N506" t="str">
        <f t="shared" ca="1" si="101"/>
        <v>wait</v>
      </c>
      <c r="O506">
        <f t="shared" si="108"/>
        <v>3.4950977990784171E-3</v>
      </c>
      <c r="P506">
        <f t="shared" si="109"/>
        <v>3.1887351609227732E-3</v>
      </c>
      <c r="Q506">
        <f t="shared" si="110"/>
        <v>1.2341044197321516E-3</v>
      </c>
      <c r="R506">
        <f t="shared" si="105"/>
        <v>1.0317938521255621E-2</v>
      </c>
      <c r="S506" s="3">
        <f t="shared" si="111"/>
        <v>1.0947026959906644E-2</v>
      </c>
      <c r="T506" s="3">
        <f t="shared" si="102"/>
        <v>-1.4221480635646586E-4</v>
      </c>
      <c r="V506" t="str">
        <f t="shared" si="103"/>
        <v>11-1</v>
      </c>
    </row>
    <row r="507" spans="1:22">
      <c r="A507" s="1">
        <v>46029</v>
      </c>
      <c r="B507" t="s">
        <v>7</v>
      </c>
      <c r="C507">
        <v>692.19000240000003</v>
      </c>
      <c r="D507">
        <v>693.96002199999998</v>
      </c>
      <c r="E507">
        <v>689.32000730000004</v>
      </c>
      <c r="F507">
        <v>689.58001709999996</v>
      </c>
      <c r="G507">
        <v>75588300</v>
      </c>
      <c r="H507">
        <f t="shared" si="106"/>
        <v>686.32598877999999</v>
      </c>
      <c r="I507">
        <f t="shared" si="112"/>
        <v>684.30949708000003</v>
      </c>
      <c r="J507" s="4">
        <f t="shared" si="99"/>
        <v>676.96274197419325</v>
      </c>
      <c r="K507">
        <f t="shared" si="104"/>
        <v>1.3973560010857179E-3</v>
      </c>
      <c r="L507">
        <f t="shared" si="107"/>
        <v>5.9827630745936246E-4</v>
      </c>
      <c r="M507" s="3">
        <f t="shared" si="100"/>
        <v>4.6302517680641596E-4</v>
      </c>
      <c r="N507" t="str">
        <f t="shared" ca="1" si="101"/>
        <v>wait</v>
      </c>
      <c r="O507">
        <f t="shared" si="108"/>
        <v>8.5440646512946472E-3</v>
      </c>
      <c r="P507">
        <f t="shared" si="109"/>
        <v>7.9903849040428021E-3</v>
      </c>
      <c r="Q507">
        <f t="shared" si="110"/>
        <v>2.1185858378824918E-3</v>
      </c>
      <c r="R507">
        <f t="shared" si="105"/>
        <v>8.844814181503402E-4</v>
      </c>
      <c r="S507" s="3">
        <f t="shared" si="111"/>
        <v>1.0852525036136844E-2</v>
      </c>
      <c r="T507" s="3">
        <f t="shared" si="102"/>
        <v>-9.4501923769800544E-5</v>
      </c>
      <c r="V507" t="str">
        <f t="shared" si="103"/>
        <v>11-1</v>
      </c>
    </row>
    <row r="508" spans="1:22">
      <c r="A508" s="1">
        <v>46030</v>
      </c>
      <c r="B508" t="s">
        <v>7</v>
      </c>
      <c r="C508">
        <v>688.82000730000004</v>
      </c>
      <c r="D508">
        <v>690.61999509999998</v>
      </c>
      <c r="E508">
        <v>687.48999019999997</v>
      </c>
      <c r="F508">
        <v>689.51000980000003</v>
      </c>
      <c r="G508">
        <v>64019200</v>
      </c>
      <c r="H508">
        <f t="shared" si="106"/>
        <v>686.83999023999991</v>
      </c>
      <c r="I508">
        <f t="shared" si="112"/>
        <v>684.60699769000007</v>
      </c>
      <c r="J508" s="4">
        <f t="shared" si="99"/>
        <v>677.22838764677408</v>
      </c>
      <c r="K508">
        <f t="shared" si="104"/>
        <v>2.2466079282276235E-3</v>
      </c>
      <c r="L508">
        <f t="shared" si="107"/>
        <v>4.787449717913835E-4</v>
      </c>
      <c r="M508" s="3">
        <f t="shared" si="100"/>
        <v>4.5741812032582414E-4</v>
      </c>
      <c r="N508" t="str">
        <f t="shared" ca="1" si="101"/>
        <v>wait</v>
      </c>
      <c r="O508">
        <f t="shared" si="108"/>
        <v>2.8827923361134378E-3</v>
      </c>
      <c r="P508">
        <f t="shared" si="109"/>
        <v>3.9893234216641371E-3</v>
      </c>
      <c r="Q508">
        <f t="shared" si="110"/>
        <v>3.6107639264475466E-3</v>
      </c>
      <c r="R508">
        <f t="shared" si="105"/>
        <v>1.4921780885650548E-3</v>
      </c>
      <c r="S508" s="3">
        <f t="shared" si="111"/>
        <v>1.0895305302934959E-2</v>
      </c>
      <c r="T508" s="3">
        <f t="shared" si="102"/>
        <v>4.2780266798115793E-5</v>
      </c>
      <c r="V508" t="str">
        <f t="shared" si="103"/>
        <v>111</v>
      </c>
    </row>
    <row r="509" spans="1:22">
      <c r="A509" s="1">
        <v>46031</v>
      </c>
      <c r="B509" t="s">
        <v>7</v>
      </c>
      <c r="C509">
        <v>690.63000490000002</v>
      </c>
      <c r="D509">
        <v>695.30999759999997</v>
      </c>
      <c r="E509">
        <v>689.17999269999996</v>
      </c>
      <c r="F509">
        <v>694.07000730000004</v>
      </c>
      <c r="G509">
        <v>80125500</v>
      </c>
      <c r="H509">
        <f t="shared" si="106"/>
        <v>688.35799561999988</v>
      </c>
      <c r="I509">
        <f t="shared" si="112"/>
        <v>684.93049928000005</v>
      </c>
      <c r="J509" s="4">
        <f t="shared" si="99"/>
        <v>677.52435598064494</v>
      </c>
      <c r="K509">
        <f t="shared" si="104"/>
        <v>1.8560613196402773E-3</v>
      </c>
      <c r="L509">
        <f t="shared" si="107"/>
        <v>1.4107672523545162E-4</v>
      </c>
      <c r="M509" s="3">
        <f t="shared" si="100"/>
        <v>9.3131372215151634E-4</v>
      </c>
      <c r="N509" t="str">
        <f t="shared" ca="1" si="101"/>
        <v>wait</v>
      </c>
      <c r="O509">
        <f t="shared" si="108"/>
        <v>3.300621616160182E-3</v>
      </c>
      <c r="P509">
        <f t="shared" si="109"/>
        <v>1.6735683864070872E-3</v>
      </c>
      <c r="Q509">
        <f t="shared" si="110"/>
        <v>-1.2609796436200416E-3</v>
      </c>
      <c r="R509">
        <f t="shared" si="105"/>
        <v>-4.8717435700675882E-3</v>
      </c>
      <c r="S509" s="3">
        <f t="shared" si="111"/>
        <v>1.0931183851886029E-2</v>
      </c>
      <c r="T509" s="3">
        <f t="shared" si="102"/>
        <v>3.5878548951069969E-5</v>
      </c>
      <c r="V509" t="str">
        <f t="shared" si="103"/>
        <v>111</v>
      </c>
    </row>
    <row r="510" spans="1:22">
      <c r="A510" s="1">
        <v>46034</v>
      </c>
      <c r="B510" t="s">
        <v>7</v>
      </c>
      <c r="C510">
        <v>690.67999269999996</v>
      </c>
      <c r="D510">
        <v>696.0900269</v>
      </c>
      <c r="E510">
        <v>690.63000490000002</v>
      </c>
      <c r="F510">
        <v>695.1599731</v>
      </c>
      <c r="G510">
        <v>63976000</v>
      </c>
      <c r="H510">
        <f t="shared" si="106"/>
        <v>690.53800049999995</v>
      </c>
      <c r="I510">
        <f t="shared" si="112"/>
        <v>685.25549928000009</v>
      </c>
      <c r="J510" s="4">
        <f t="shared" si="99"/>
        <v>678.18645255806439</v>
      </c>
      <c r="K510">
        <f t="shared" si="104"/>
        <v>1.8466925116444248E-3</v>
      </c>
      <c r="L510">
        <f t="shared" si="107"/>
        <v>3.5550187338259404E-4</v>
      </c>
      <c r="M510" s="3">
        <f t="shared" si="100"/>
        <v>7.7999392519284918E-4</v>
      </c>
      <c r="N510" t="str">
        <f t="shared" ca="1" si="101"/>
        <v>wait</v>
      </c>
      <c r="O510">
        <f t="shared" si="108"/>
        <v>2.0562546868840847E-4</v>
      </c>
      <c r="P510">
        <f t="shared" si="109"/>
        <v>5.1148623210346411E-3</v>
      </c>
      <c r="Q510">
        <f t="shared" si="110"/>
        <v>-1.9665938717590148E-3</v>
      </c>
      <c r="R510">
        <f t="shared" si="105"/>
        <v>-7.0561422813897323E-4</v>
      </c>
      <c r="S510" s="3">
        <f t="shared" si="111"/>
        <v>1.042345610896802E-2</v>
      </c>
      <c r="T510" s="3">
        <f t="shared" si="102"/>
        <v>-5.0772774291800958E-4</v>
      </c>
      <c r="V510" t="str">
        <f t="shared" si="103"/>
        <v>11-1</v>
      </c>
    </row>
    <row r="511" spans="1:22">
      <c r="A511" s="1">
        <v>46035</v>
      </c>
      <c r="B511" t="s">
        <v>7</v>
      </c>
      <c r="C511">
        <v>695.48999019999997</v>
      </c>
      <c r="D511">
        <v>696.0900269</v>
      </c>
      <c r="E511">
        <v>691.34997559999999</v>
      </c>
      <c r="F511">
        <v>693.77001949999999</v>
      </c>
      <c r="G511">
        <v>78309700</v>
      </c>
      <c r="H511">
        <f t="shared" si="106"/>
        <v>692.02600097999994</v>
      </c>
      <c r="I511">
        <f t="shared" si="112"/>
        <v>685.55499879000013</v>
      </c>
      <c r="J511" s="4">
        <f t="shared" ref="J511:J563" si="113">AVERAGE(F449:F510)</f>
        <v>678.70451699516116</v>
      </c>
      <c r="K511">
        <f t="shared" si="104"/>
        <v>9.684669234678976E-4</v>
      </c>
      <c r="L511">
        <f t="shared" si="107"/>
        <v>9.8274782235547664E-4</v>
      </c>
      <c r="M511" s="3">
        <f t="shared" si="100"/>
        <v>8.2876527212739177E-4</v>
      </c>
      <c r="N511" t="str">
        <f t="shared" ca="1" si="101"/>
        <v>wait</v>
      </c>
      <c r="O511">
        <f t="shared" si="108"/>
        <v>5.0055766908967403E-3</v>
      </c>
      <c r="P511">
        <f t="shared" si="109"/>
        <v>4.5286912855324601E-3</v>
      </c>
      <c r="Q511">
        <f t="shared" si="110"/>
        <v>-2.017259579875641E-3</v>
      </c>
      <c r="R511">
        <f t="shared" si="105"/>
        <v>-5.0665708116626185E-5</v>
      </c>
      <c r="S511" s="3">
        <f t="shared" si="111"/>
        <v>1.0093467220710733E-2</v>
      </c>
      <c r="T511" s="3">
        <f t="shared" si="102"/>
        <v>-3.2998888825728698E-4</v>
      </c>
      <c r="V511" t="str">
        <f t="shared" si="103"/>
        <v>11-1</v>
      </c>
    </row>
    <row r="512" spans="1:22">
      <c r="A512" s="1">
        <v>46036</v>
      </c>
      <c r="B512" t="s">
        <v>7</v>
      </c>
      <c r="C512">
        <v>691</v>
      </c>
      <c r="D512">
        <v>691.71997069999998</v>
      </c>
      <c r="E512">
        <v>686.03997800000002</v>
      </c>
      <c r="F512">
        <v>690.35998540000003</v>
      </c>
      <c r="G512">
        <v>94676700</v>
      </c>
      <c r="H512">
        <f t="shared" si="106"/>
        <v>692.41800536000005</v>
      </c>
      <c r="I512">
        <f t="shared" si="112"/>
        <v>686.15549927500001</v>
      </c>
      <c r="J512" s="4">
        <f t="shared" si="113"/>
        <v>679.21322730161296</v>
      </c>
      <c r="K512">
        <f t="shared" si="104"/>
        <v>1.2152331262790667E-3</v>
      </c>
      <c r="L512">
        <f t="shared" si="107"/>
        <v>9.577981999868727E-4</v>
      </c>
      <c r="M512" s="3">
        <f t="shared" si="100"/>
        <v>7.1660972220739382E-4</v>
      </c>
      <c r="N512" t="str">
        <f t="shared" ca="1" si="101"/>
        <v>wait</v>
      </c>
      <c r="O512">
        <f t="shared" si="108"/>
        <v>-2.0479036492744296E-3</v>
      </c>
      <c r="P512">
        <f t="shared" si="109"/>
        <v>1.9525981842385409E-3</v>
      </c>
      <c r="Q512">
        <f t="shared" si="110"/>
        <v>-1.5424638754805153E-3</v>
      </c>
      <c r="R512">
        <f t="shared" si="105"/>
        <v>4.7479570439512564E-4</v>
      </c>
      <c r="S512" s="3">
        <f t="shared" si="111"/>
        <v>1.0221049435340648E-2</v>
      </c>
      <c r="T512" s="3">
        <f t="shared" si="102"/>
        <v>1.2758221462991562E-4</v>
      </c>
      <c r="V512" t="str">
        <f t="shared" si="103"/>
        <v>111</v>
      </c>
    </row>
    <row r="513" spans="1:22">
      <c r="A513" s="1">
        <v>46037</v>
      </c>
      <c r="B513" t="s">
        <v>7</v>
      </c>
      <c r="C513">
        <v>694.57000730000004</v>
      </c>
      <c r="D513">
        <v>695.45001219999995</v>
      </c>
      <c r="E513">
        <v>691.25</v>
      </c>
      <c r="F513">
        <v>692.23999019999997</v>
      </c>
      <c r="G513">
        <v>77862000</v>
      </c>
      <c r="H513">
        <f t="shared" si="106"/>
        <v>692.57399902000009</v>
      </c>
      <c r="I513">
        <f t="shared" si="112"/>
        <v>686.63699952000002</v>
      </c>
      <c r="J513" s="4">
        <f t="shared" si="113"/>
        <v>679.61951766451614</v>
      </c>
      <c r="K513">
        <f t="shared" si="104"/>
        <v>2.4654481818082329E-4</v>
      </c>
      <c r="L513">
        <f t="shared" si="107"/>
        <v>8.4625851657411434E-4</v>
      </c>
      <c r="M513" s="3">
        <f t="shared" ref="M513:M564" si="114">(F512-F451)/F451/60</f>
        <v>7.4977723982792431E-4</v>
      </c>
      <c r="N513" t="str">
        <f t="shared" ref="N513:N564" ca="1" si="115">IF(AND((F512-H513) / H513&lt;= -0.0155, G512/ AVERAGE(OFFSET(G512,-19,0,20,1)) &gt;= 1.58), "buy", "wait")</f>
        <v>wait</v>
      </c>
      <c r="O513">
        <f t="shared" si="108"/>
        <v>2.8820144602950126E-3</v>
      </c>
      <c r="P513">
        <f t="shared" si="109"/>
        <v>-3.1967899793132748E-3</v>
      </c>
      <c r="Q513">
        <f t="shared" si="110"/>
        <v>-9.4344012758864615E-3</v>
      </c>
      <c r="R513">
        <f t="shared" si="105"/>
        <v>-7.8919374004059462E-3</v>
      </c>
      <c r="S513" s="3">
        <f t="shared" si="111"/>
        <v>1.0325603772533137E-2</v>
      </c>
      <c r="T513" s="3">
        <f t="shared" si="102"/>
        <v>1.0455433719248897E-4</v>
      </c>
      <c r="V513" t="str">
        <f t="shared" si="103"/>
        <v>111</v>
      </c>
    </row>
    <row r="514" spans="1:22">
      <c r="A514" s="1">
        <v>46038</v>
      </c>
      <c r="B514" t="s">
        <v>7</v>
      </c>
      <c r="C514">
        <v>693.6599731</v>
      </c>
      <c r="D514">
        <v>694.25</v>
      </c>
      <c r="E514">
        <v>690.09997559999999</v>
      </c>
      <c r="F514">
        <v>691.6599731</v>
      </c>
      <c r="G514">
        <v>79289200</v>
      </c>
      <c r="H514">
        <f t="shared" si="106"/>
        <v>693.1199951000001</v>
      </c>
      <c r="I514">
        <f t="shared" si="112"/>
        <v>687.30549927499999</v>
      </c>
      <c r="J514" s="4">
        <f t="shared" si="113"/>
        <v>680.12919469032249</v>
      </c>
      <c r="K514">
        <f t="shared" si="104"/>
        <v>-5.2732925519113623E-4</v>
      </c>
      <c r="L514">
        <f t="shared" si="107"/>
        <v>1.5519783320401051E-3</v>
      </c>
      <c r="M514" s="3">
        <f t="shared" si="114"/>
        <v>6.9863521395554693E-4</v>
      </c>
      <c r="N514" t="str">
        <f t="shared" ca="1" si="115"/>
        <v>wait</v>
      </c>
      <c r="O514">
        <f t="shared" si="108"/>
        <v>7.7905413754808528E-4</v>
      </c>
      <c r="P514">
        <f t="shared" si="109"/>
        <v>-1.2696285004346608E-3</v>
      </c>
      <c r="Q514">
        <f t="shared" si="110"/>
        <v>-2.6979384712891852E-3</v>
      </c>
      <c r="R514">
        <f t="shared" si="105"/>
        <v>6.7364628045972763E-3</v>
      </c>
      <c r="S514" s="3">
        <f t="shared" si="111"/>
        <v>1.0551384414464111E-2</v>
      </c>
      <c r="T514" s="3">
        <f t="shared" ref="T514:T564" si="116">S514-S513</f>
        <v>2.2578064193097373E-4</v>
      </c>
      <c r="V514" t="str">
        <f t="shared" ref="V514:V564" si="117">SIGN(M514)&amp;SIGN(S514)&amp;SIGN(T514)</f>
        <v>111</v>
      </c>
    </row>
    <row r="515" spans="1:22">
      <c r="A515" s="1">
        <v>46042</v>
      </c>
      <c r="B515" t="s">
        <v>7</v>
      </c>
      <c r="C515">
        <v>681.48999019999997</v>
      </c>
      <c r="D515">
        <v>684.77001949999999</v>
      </c>
      <c r="E515">
        <v>676.57000730000004</v>
      </c>
      <c r="F515">
        <v>677.58001709999996</v>
      </c>
      <c r="G515">
        <v>111623300</v>
      </c>
      <c r="H515">
        <f t="shared" si="106"/>
        <v>692.63798825999993</v>
      </c>
      <c r="I515">
        <f t="shared" si="112"/>
        <v>688.31849671000009</v>
      </c>
      <c r="J515" s="4">
        <f t="shared" si="113"/>
        <v>680.56903273064518</v>
      </c>
      <c r="K515">
        <f t="shared" si="104"/>
        <v>-1.0069624648818838E-3</v>
      </c>
      <c r="L515">
        <f t="shared" si="107"/>
        <v>1.1227403327513312E-3</v>
      </c>
      <c r="M515" s="3">
        <f t="shared" si="114"/>
        <v>5.0548651050241007E-4</v>
      </c>
      <c r="N515" t="str">
        <f t="shared" ca="1" si="115"/>
        <v>wait</v>
      </c>
      <c r="O515">
        <f t="shared" si="108"/>
        <v>-1.609498504118323E-2</v>
      </c>
      <c r="P515">
        <f t="shared" si="109"/>
        <v>-1.4120149003908899E-3</v>
      </c>
      <c r="Q515">
        <f t="shared" si="110"/>
        <v>-3.6642700848328325E-3</v>
      </c>
      <c r="R515">
        <f t="shared" si="105"/>
        <v>-9.6633161354364727E-4</v>
      </c>
      <c r="S515" s="3">
        <f t="shared" si="111"/>
        <v>1.1386741985984525E-2</v>
      </c>
      <c r="T515" s="3">
        <f t="shared" si="116"/>
        <v>8.3535757152041444E-4</v>
      </c>
      <c r="V515" t="str">
        <f t="shared" si="117"/>
        <v>111</v>
      </c>
    </row>
    <row r="516" spans="1:22">
      <c r="A516" s="1">
        <v>46043</v>
      </c>
      <c r="B516" t="s">
        <v>7</v>
      </c>
      <c r="C516">
        <v>679.65002440000001</v>
      </c>
      <c r="D516">
        <v>688.73999019999997</v>
      </c>
      <c r="E516">
        <v>678.13000490000002</v>
      </c>
      <c r="F516">
        <v>685.40002440000001</v>
      </c>
      <c r="G516">
        <v>127844500</v>
      </c>
      <c r="H516">
        <f t="shared" si="106"/>
        <v>689.12199706000001</v>
      </c>
      <c r="I516">
        <f t="shared" si="112"/>
        <v>688.37399903000005</v>
      </c>
      <c r="J516" s="4">
        <f t="shared" si="113"/>
        <v>680.67032352580657</v>
      </c>
      <c r="K516">
        <f t="shared" si="104"/>
        <v>-4.6672533966423515E-3</v>
      </c>
      <c r="L516">
        <f t="shared" si="107"/>
        <v>-2.2113237639627496E-4</v>
      </c>
      <c r="M516" s="3">
        <f t="shared" si="114"/>
        <v>1.5616795786574231E-4</v>
      </c>
      <c r="N516" t="str">
        <f t="shared" ca="1" si="115"/>
        <v>wait</v>
      </c>
      <c r="O516">
        <f t="shared" si="108"/>
        <v>-1.3744986664785408E-2</v>
      </c>
      <c r="P516">
        <f t="shared" si="109"/>
        <v>-1.6748819525775671E-2</v>
      </c>
      <c r="Q516">
        <f t="shared" si="110"/>
        <v>-1.8214466833957554E-2</v>
      </c>
      <c r="R516">
        <f t="shared" si="105"/>
        <v>-1.4550196749124722E-2</v>
      </c>
      <c r="S516" s="3">
        <f t="shared" si="111"/>
        <v>1.1317777840363582E-2</v>
      </c>
      <c r="T516" s="3">
        <f t="shared" si="116"/>
        <v>-6.8964145620943607E-5</v>
      </c>
      <c r="V516" t="str">
        <f t="shared" si="117"/>
        <v>11-1</v>
      </c>
    </row>
    <row r="517" spans="1:22">
      <c r="A517" s="1">
        <v>46044</v>
      </c>
      <c r="B517" t="s">
        <v>7</v>
      </c>
      <c r="C517">
        <v>689.84997559999999</v>
      </c>
      <c r="D517">
        <v>691.13000490000002</v>
      </c>
      <c r="E517">
        <v>686.91998290000004</v>
      </c>
      <c r="F517">
        <v>688.97998050000001</v>
      </c>
      <c r="G517">
        <v>77112200</v>
      </c>
      <c r="H517">
        <f t="shared" si="106"/>
        <v>687.44799804000002</v>
      </c>
      <c r="I517">
        <f t="shared" si="112"/>
        <v>688.61449890500012</v>
      </c>
      <c r="J517" s="4">
        <f t="shared" si="113"/>
        <v>680.89790491935491</v>
      </c>
      <c r="K517">
        <f t="shared" si="104"/>
        <v>-1.4369201879874832E-3</v>
      </c>
      <c r="L517">
        <f t="shared" si="107"/>
        <v>4.1616699455859981E-5</v>
      </c>
      <c r="M517" s="3">
        <f t="shared" si="114"/>
        <v>4.3925419091379701E-4</v>
      </c>
      <c r="N517" t="str">
        <f t="shared" ca="1" si="115"/>
        <v>wait</v>
      </c>
      <c r="O517">
        <f t="shared" si="108"/>
        <v>3.4940498290028099E-3</v>
      </c>
      <c r="P517">
        <f t="shared" si="109"/>
        <v>-2.9790960855788917E-3</v>
      </c>
      <c r="Q517">
        <f t="shared" si="110"/>
        <v>-1.3554469816723258E-2</v>
      </c>
      <c r="R517">
        <f t="shared" si="105"/>
        <v>4.6599970172342964E-3</v>
      </c>
      <c r="S517" s="3">
        <f t="shared" si="111"/>
        <v>1.1332967732598842E-2</v>
      </c>
      <c r="T517" s="3">
        <f t="shared" si="116"/>
        <v>1.5189892235260155E-5</v>
      </c>
      <c r="V517" t="str">
        <f t="shared" si="117"/>
        <v>111</v>
      </c>
    </row>
    <row r="518" spans="1:22">
      <c r="A518" s="1">
        <v>46045</v>
      </c>
      <c r="B518" t="s">
        <v>7</v>
      </c>
      <c r="C518">
        <v>688.15002440000001</v>
      </c>
      <c r="D518">
        <v>690.96002199999998</v>
      </c>
      <c r="E518">
        <v>687.1599731</v>
      </c>
      <c r="F518">
        <v>689.22998050000001</v>
      </c>
      <c r="G518">
        <v>63059600</v>
      </c>
      <c r="H518">
        <f t="shared" si="106"/>
        <v>687.17199705999997</v>
      </c>
      <c r="I518">
        <f t="shared" si="112"/>
        <v>688.82199707500001</v>
      </c>
      <c r="J518" s="4">
        <f t="shared" si="113"/>
        <v>681.23951770483882</v>
      </c>
      <c r="K518">
        <f t="shared" si="104"/>
        <v>-9.4187268755105652E-4</v>
      </c>
      <c r="L518">
        <f t="shared" si="107"/>
        <v>7.4129198455083321E-5</v>
      </c>
      <c r="M518" s="3">
        <f t="shared" si="114"/>
        <v>4.2723518441074409E-4</v>
      </c>
      <c r="N518" t="str">
        <f t="shared" ca="1" si="115"/>
        <v>wait</v>
      </c>
      <c r="O518">
        <f t="shared" si="108"/>
        <v>1.423264254341694E-3</v>
      </c>
      <c r="P518">
        <f t="shared" si="109"/>
        <v>2.6310493555257164E-3</v>
      </c>
      <c r="Q518">
        <f t="shared" si="110"/>
        <v>-3.6674102128453345E-4</v>
      </c>
      <c r="R518">
        <f t="shared" si="105"/>
        <v>1.3187728795438725E-2</v>
      </c>
      <c r="S518" s="3">
        <f t="shared" si="111"/>
        <v>1.1130416209129051E-2</v>
      </c>
      <c r="T518" s="3">
        <f t="shared" si="116"/>
        <v>-2.0255152346979055E-4</v>
      </c>
      <c r="V518" t="str">
        <f t="shared" si="117"/>
        <v>11-1</v>
      </c>
    </row>
    <row r="519" spans="1:22">
      <c r="A519" s="1">
        <v>46048</v>
      </c>
      <c r="B519" t="s">
        <v>7</v>
      </c>
      <c r="C519">
        <v>690.48999019999997</v>
      </c>
      <c r="D519">
        <v>694.13000490000002</v>
      </c>
      <c r="E519">
        <v>689.91998290000004</v>
      </c>
      <c r="F519">
        <v>692.72998050000001</v>
      </c>
      <c r="G519">
        <v>60473800</v>
      </c>
      <c r="H519">
        <f t="shared" si="106"/>
        <v>686.56999512000004</v>
      </c>
      <c r="I519">
        <f t="shared" si="112"/>
        <v>688.88549499999999</v>
      </c>
      <c r="J519" s="4">
        <f t="shared" si="113"/>
        <v>681.52129142580657</v>
      </c>
      <c r="K519">
        <f t="shared" si="104"/>
        <v>-7.0265526255880754E-4</v>
      </c>
      <c r="L519">
        <f t="shared" si="107"/>
        <v>-8.328923142600177E-5</v>
      </c>
      <c r="M519" s="3">
        <f t="shared" si="114"/>
        <v>2.9481925679832678E-4</v>
      </c>
      <c r="N519" t="str">
        <f t="shared" ca="1" si="115"/>
        <v>wait</v>
      </c>
      <c r="O519">
        <f t="shared" si="108"/>
        <v>5.7095345090267813E-3</v>
      </c>
      <c r="P519">
        <f t="shared" si="109"/>
        <v>3.8743105566898528E-3</v>
      </c>
      <c r="Q519">
        <f t="shared" si="110"/>
        <v>8.5931221025292714E-4</v>
      </c>
      <c r="R519">
        <f t="shared" si="105"/>
        <v>1.2260532315374606E-3</v>
      </c>
      <c r="S519" s="3">
        <f t="shared" si="111"/>
        <v>1.0805537063687063E-2</v>
      </c>
      <c r="T519" s="3">
        <f t="shared" si="116"/>
        <v>-3.2487914544198845E-4</v>
      </c>
      <c r="V519" t="str">
        <f t="shared" si="117"/>
        <v>11-1</v>
      </c>
    </row>
    <row r="520" spans="1:22">
      <c r="A520" s="1">
        <v>46049</v>
      </c>
      <c r="B520" t="s">
        <v>7</v>
      </c>
      <c r="C520">
        <v>694.17999269999996</v>
      </c>
      <c r="D520">
        <v>696.53002930000002</v>
      </c>
      <c r="E520">
        <v>693.57000730000004</v>
      </c>
      <c r="F520">
        <v>695.48999019999997</v>
      </c>
      <c r="G520">
        <v>55506100</v>
      </c>
      <c r="H520">
        <f t="shared" si="106"/>
        <v>686.78399660000014</v>
      </c>
      <c r="I520">
        <f t="shared" si="112"/>
        <v>689.00299378</v>
      </c>
      <c r="J520" s="4">
        <f t="shared" si="113"/>
        <v>681.77096853064518</v>
      </c>
      <c r="K520">
        <f t="shared" ref="K520:K564" si="118">(F519-F515)/F515/5</f>
        <v>4.47178577220767E-3</v>
      </c>
      <c r="L520">
        <f t="shared" si="107"/>
        <v>1.7528233028737728E-4</v>
      </c>
      <c r="M520" s="3">
        <f t="shared" si="114"/>
        <v>1.821743818982785E-4</v>
      </c>
      <c r="N520" t="str">
        <f t="shared" ca="1" si="115"/>
        <v>wait</v>
      </c>
      <c r="O520">
        <f t="shared" si="108"/>
        <v>1.0769028015525262E-2</v>
      </c>
      <c r="P520">
        <f t="shared" si="109"/>
        <v>8.6577205197502227E-3</v>
      </c>
      <c r="Q520">
        <f t="shared" si="110"/>
        <v>4.5661901202196375E-3</v>
      </c>
      <c r="R520">
        <f t="shared" si="105"/>
        <v>3.7068779099667104E-3</v>
      </c>
      <c r="S520" s="3">
        <f t="shared" si="111"/>
        <v>1.0607704908499261E-2</v>
      </c>
      <c r="T520" s="3">
        <f t="shared" si="116"/>
        <v>-1.9783215518780206E-4</v>
      </c>
      <c r="V520" t="str">
        <f t="shared" si="117"/>
        <v>11-1</v>
      </c>
    </row>
    <row r="521" spans="1:22">
      <c r="A521" s="1">
        <v>46050</v>
      </c>
      <c r="B521" t="s">
        <v>7</v>
      </c>
      <c r="C521">
        <v>697.04998780000005</v>
      </c>
      <c r="D521">
        <v>697.8400269</v>
      </c>
      <c r="E521">
        <v>693.94000240000003</v>
      </c>
      <c r="F521">
        <v>695.41998290000004</v>
      </c>
      <c r="G521">
        <v>61172200</v>
      </c>
      <c r="H521">
        <f t="shared" si="106"/>
        <v>690.36599122000007</v>
      </c>
      <c r="I521">
        <f t="shared" si="112"/>
        <v>689.26199340999995</v>
      </c>
      <c r="J521" s="4">
        <f t="shared" si="113"/>
        <v>681.93629111129042</v>
      </c>
      <c r="K521">
        <f t="shared" si="118"/>
        <v>2.9442560375841035E-3</v>
      </c>
      <c r="L521">
        <f t="shared" si="107"/>
        <v>5.5535471912575968E-4</v>
      </c>
      <c r="M521" s="3">
        <f t="shared" si="114"/>
        <v>2.0449433405736461E-4</v>
      </c>
      <c r="N521" t="str">
        <f t="shared" ca="1" si="115"/>
        <v>wait</v>
      </c>
      <c r="O521">
        <f t="shared" si="108"/>
        <v>9.6818161163880756E-3</v>
      </c>
      <c r="P521">
        <f t="shared" si="109"/>
        <v>7.422148606922141E-3</v>
      </c>
      <c r="Q521">
        <f t="shared" si="110"/>
        <v>4.6410398553062837E-3</v>
      </c>
      <c r="R521">
        <f t="shared" ref="R521:R564" si="119">Q521-Q520</f>
        <v>7.4849735086646163E-5</v>
      </c>
      <c r="S521" s="3">
        <f t="shared" si="111"/>
        <v>1.0742502480358523E-2</v>
      </c>
      <c r="T521" s="3">
        <f t="shared" si="116"/>
        <v>1.3479757185926207E-4</v>
      </c>
      <c r="V521" t="str">
        <f t="shared" si="117"/>
        <v>111</v>
      </c>
    </row>
    <row r="522" spans="1:22">
      <c r="A522" s="1">
        <v>46051</v>
      </c>
      <c r="B522" t="s">
        <v>7</v>
      </c>
      <c r="C522">
        <v>696.39001459999997</v>
      </c>
      <c r="D522">
        <v>697.05999759999997</v>
      </c>
      <c r="E522">
        <v>684.83001709999996</v>
      </c>
      <c r="F522">
        <v>694.03997800000002</v>
      </c>
      <c r="G522">
        <v>97486200</v>
      </c>
      <c r="H522">
        <f t="shared" si="106"/>
        <v>692.36998291999987</v>
      </c>
      <c r="I522">
        <f t="shared" si="112"/>
        <v>689.6404937750001</v>
      </c>
      <c r="J522" s="4">
        <f t="shared" si="113"/>
        <v>682.07112958387108</v>
      </c>
      <c r="K522">
        <f t="shared" si="118"/>
        <v>1.8694309217305409E-3</v>
      </c>
      <c r="L522">
        <f t="shared" si="107"/>
        <v>6.1207063798446575E-4</v>
      </c>
      <c r="M522" s="3">
        <f t="shared" si="114"/>
        <v>1.9469704557445442E-4</v>
      </c>
      <c r="N522" t="str">
        <f t="shared" ca="1" si="115"/>
        <v>wait</v>
      </c>
      <c r="O522">
        <f t="shared" si="108"/>
        <v>5.8061900128107968E-3</v>
      </c>
      <c r="P522">
        <f t="shared" si="109"/>
        <v>4.4051591710216886E-3</v>
      </c>
      <c r="Q522">
        <f t="shared" si="110"/>
        <v>2.2676018873302173E-3</v>
      </c>
      <c r="R522">
        <f t="shared" si="119"/>
        <v>-2.3734379679760664E-3</v>
      </c>
      <c r="S522" s="3">
        <f t="shared" si="111"/>
        <v>1.1097617041417734E-2</v>
      </c>
      <c r="T522" s="3">
        <f t="shared" si="116"/>
        <v>3.5511456105921137E-4</v>
      </c>
      <c r="V522" t="str">
        <f t="shared" si="117"/>
        <v>111</v>
      </c>
    </row>
    <row r="523" spans="1:22">
      <c r="A523" s="1">
        <v>46052</v>
      </c>
      <c r="B523" t="s">
        <v>7</v>
      </c>
      <c r="C523">
        <v>691.78997800000002</v>
      </c>
      <c r="D523">
        <v>694.21002199999998</v>
      </c>
      <c r="E523">
        <v>687.11999509999998</v>
      </c>
      <c r="F523">
        <v>691.96997069999998</v>
      </c>
      <c r="G523">
        <v>101835100</v>
      </c>
      <c r="H523">
        <f t="shared" si="106"/>
        <v>693.38198241999999</v>
      </c>
      <c r="I523">
        <f t="shared" si="112"/>
        <v>689.99199218499996</v>
      </c>
      <c r="J523" s="4">
        <f t="shared" si="113"/>
        <v>682.17838705806469</v>
      </c>
      <c r="K523">
        <f t="shared" si="118"/>
        <v>1.3957598003820463E-3</v>
      </c>
      <c r="L523">
        <f t="shared" si="107"/>
        <v>8.8866695535576615E-4</v>
      </c>
      <c r="M523" s="3">
        <f t="shared" si="114"/>
        <v>3.4837043924147666E-4</v>
      </c>
      <c r="N523" t="str">
        <f t="shared" ca="1" si="115"/>
        <v>wait</v>
      </c>
      <c r="O523">
        <f t="shared" si="108"/>
        <v>-2.2959991178941319E-3</v>
      </c>
      <c r="P523">
        <f t="shared" si="109"/>
        <v>9.4896550052192552E-4</v>
      </c>
      <c r="Q523">
        <f t="shared" si="110"/>
        <v>-1.2333699947253418E-2</v>
      </c>
      <c r="R523">
        <f t="shared" si="119"/>
        <v>-1.4601301834583635E-2</v>
      </c>
      <c r="S523" s="3">
        <f t="shared" si="111"/>
        <v>1.1453903077510142E-2</v>
      </c>
      <c r="T523" s="3">
        <f t="shared" si="116"/>
        <v>3.5628603609240764E-4</v>
      </c>
      <c r="V523" t="str">
        <f t="shared" si="117"/>
        <v>111</v>
      </c>
    </row>
    <row r="524" spans="1:22">
      <c r="A524" s="1">
        <v>46055</v>
      </c>
      <c r="B524" t="s">
        <v>7</v>
      </c>
      <c r="C524">
        <v>689.58001709999996</v>
      </c>
      <c r="D524">
        <v>696.92999269999996</v>
      </c>
      <c r="E524">
        <v>689.41998290000004</v>
      </c>
      <c r="F524">
        <v>695.4099731</v>
      </c>
      <c r="G524">
        <v>79286500</v>
      </c>
      <c r="H524">
        <f t="shared" si="106"/>
        <v>693.92998045999991</v>
      </c>
      <c r="I524">
        <f t="shared" si="112"/>
        <v>690.49449157499998</v>
      </c>
      <c r="J524" s="4">
        <f t="shared" si="113"/>
        <v>682.37419276129037</v>
      </c>
      <c r="K524">
        <f t="shared" si="118"/>
        <v>-2.1942454387537062E-4</v>
      </c>
      <c r="L524">
        <f t="shared" si="107"/>
        <v>6.4405550743350281E-4</v>
      </c>
      <c r="M524" s="3">
        <f t="shared" si="114"/>
        <v>2.4215790240523168E-4</v>
      </c>
      <c r="N524" t="str">
        <f t="shared" ca="1" si="115"/>
        <v>wait</v>
      </c>
      <c r="O524">
        <f t="shared" si="108"/>
        <v>-6.2685911871345201E-3</v>
      </c>
      <c r="P524">
        <f t="shared" si="109"/>
        <v>-2.8245065283108994E-3</v>
      </c>
      <c r="Q524">
        <f t="shared" si="110"/>
        <v>-9.813649145819614E-3</v>
      </c>
      <c r="R524">
        <f t="shared" si="119"/>
        <v>2.5200508014338041E-3</v>
      </c>
      <c r="S524" s="3">
        <f t="shared" si="111"/>
        <v>1.190006729423642E-2</v>
      </c>
      <c r="T524" s="3">
        <f t="shared" si="116"/>
        <v>4.4616421672627818E-4</v>
      </c>
      <c r="V524" t="str">
        <f t="shared" si="117"/>
        <v>111</v>
      </c>
    </row>
    <row r="525" spans="1:22">
      <c r="A525" s="1">
        <v>46056</v>
      </c>
      <c r="B525" t="s">
        <v>7</v>
      </c>
      <c r="C525">
        <v>696.21002199999998</v>
      </c>
      <c r="D525">
        <v>696.96002199999998</v>
      </c>
      <c r="E525">
        <v>684.03002930000002</v>
      </c>
      <c r="F525">
        <v>689.53002930000002</v>
      </c>
      <c r="G525">
        <v>107904600</v>
      </c>
      <c r="H525">
        <f t="shared" si="106"/>
        <v>694.46597898000005</v>
      </c>
      <c r="I525">
        <f t="shared" si="112"/>
        <v>691.10649108500013</v>
      </c>
      <c r="J525" s="4">
        <f t="shared" si="113"/>
        <v>682.58951494677444</v>
      </c>
      <c r="K525">
        <f t="shared" si="118"/>
        <v>-2.3010280845869074E-5</v>
      </c>
      <c r="L525">
        <f t="shared" si="107"/>
        <v>5.5909401556077467E-4</v>
      </c>
      <c r="M525" s="3">
        <f t="shared" si="114"/>
        <v>2.9438604805955362E-4</v>
      </c>
      <c r="N525" t="str">
        <f t="shared" ca="1" si="115"/>
        <v>wait</v>
      </c>
      <c r="O525">
        <f t="shared" si="108"/>
        <v>2.5113440726951541E-3</v>
      </c>
      <c r="P525">
        <f t="shared" si="109"/>
        <v>1.3593093809813883E-3</v>
      </c>
      <c r="Q525">
        <f t="shared" si="110"/>
        <v>-7.2660090382128395E-3</v>
      </c>
      <c r="R525">
        <f t="shared" si="119"/>
        <v>2.5476401076067745E-3</v>
      </c>
      <c r="S525" s="3">
        <f t="shared" si="111"/>
        <v>1.2477449406602453E-2</v>
      </c>
      <c r="T525" s="3">
        <f t="shared" si="116"/>
        <v>5.7738211236603269E-4</v>
      </c>
      <c r="V525" t="str">
        <f t="shared" si="117"/>
        <v>111</v>
      </c>
    </row>
    <row r="526" spans="1:22">
      <c r="A526" s="1">
        <v>46057</v>
      </c>
      <c r="B526" t="s">
        <v>7</v>
      </c>
      <c r="C526">
        <v>690.34997559999999</v>
      </c>
      <c r="D526">
        <v>691.45001219999995</v>
      </c>
      <c r="E526">
        <v>681.76000980000003</v>
      </c>
      <c r="F526">
        <v>686.19000240000003</v>
      </c>
      <c r="G526">
        <v>105204600</v>
      </c>
      <c r="H526">
        <f t="shared" si="106"/>
        <v>693.2739868000001</v>
      </c>
      <c r="I526">
        <f t="shared" si="112"/>
        <v>691.19699401500009</v>
      </c>
      <c r="J526" s="4">
        <f t="shared" si="113"/>
        <v>682.68935369516157</v>
      </c>
      <c r="K526">
        <f t="shared" si="118"/>
        <v>-1.6939270497917159E-3</v>
      </c>
      <c r="L526">
        <f t="shared" si="107"/>
        <v>-1.6478283834503164E-4</v>
      </c>
      <c r="M526" s="3">
        <f t="shared" si="114"/>
        <v>3.5271506692426694E-4</v>
      </c>
      <c r="N526" t="str">
        <f t="shared" ca="1" si="115"/>
        <v>wait</v>
      </c>
      <c r="O526">
        <f t="shared" si="108"/>
        <v>-4.2176848629452701E-3</v>
      </c>
      <c r="P526">
        <f t="shared" si="109"/>
        <v>-5.4004009544356135E-3</v>
      </c>
      <c r="Q526">
        <f t="shared" si="110"/>
        <v>-1.3333772326678761E-2</v>
      </c>
      <c r="R526">
        <f t="shared" si="119"/>
        <v>-6.0677632884659216E-3</v>
      </c>
      <c r="S526" s="3">
        <f t="shared" si="111"/>
        <v>1.2461949602391774E-2</v>
      </c>
      <c r="T526" s="3">
        <f t="shared" si="116"/>
        <v>-1.5499804210679369E-5</v>
      </c>
      <c r="V526" t="str">
        <f t="shared" si="117"/>
        <v>11-1</v>
      </c>
    </row>
    <row r="527" spans="1:22">
      <c r="A527" s="1">
        <v>46058</v>
      </c>
      <c r="B527" t="s">
        <v>7</v>
      </c>
      <c r="C527">
        <v>680.94000240000003</v>
      </c>
      <c r="D527">
        <v>683.69000240000003</v>
      </c>
      <c r="E527">
        <v>675.78997800000002</v>
      </c>
      <c r="F527">
        <v>677.61999509999998</v>
      </c>
      <c r="G527">
        <v>113610800</v>
      </c>
      <c r="H527">
        <f t="shared" si="106"/>
        <v>691.42799070000001</v>
      </c>
      <c r="I527">
        <f t="shared" si="112"/>
        <v>690.91599425500021</v>
      </c>
      <c r="J527" s="4">
        <f t="shared" si="113"/>
        <v>682.86596679516151</v>
      </c>
      <c r="K527">
        <f t="shared" si="118"/>
        <v>-2.262110497617471E-3</v>
      </c>
      <c r="L527">
        <f t="shared" si="107"/>
        <v>-2.458028521661999E-4</v>
      </c>
      <c r="M527" s="3">
        <f t="shared" si="114"/>
        <v>2.1178274355576629E-4</v>
      </c>
      <c r="N527" t="str">
        <f t="shared" ca="1" si="115"/>
        <v>wait</v>
      </c>
      <c r="O527">
        <f t="shared" si="108"/>
        <v>-1.5168590859883979E-2</v>
      </c>
      <c r="P527">
        <f t="shared" si="109"/>
        <v>-7.5756092759523552E-3</v>
      </c>
      <c r="Q527">
        <f t="shared" si="110"/>
        <v>-1.398262874809586E-2</v>
      </c>
      <c r="R527">
        <f t="shared" si="119"/>
        <v>-6.4885642141709887E-4</v>
      </c>
      <c r="S527" s="3">
        <f t="shared" si="111"/>
        <v>1.1788590808851159E-2</v>
      </c>
      <c r="T527" s="3">
        <f t="shared" si="116"/>
        <v>-6.7335879354061406E-4</v>
      </c>
      <c r="V527" t="str">
        <f t="shared" si="117"/>
        <v>11-1</v>
      </c>
    </row>
    <row r="528" spans="1:22">
      <c r="A528" s="1">
        <v>46059</v>
      </c>
      <c r="B528" t="s">
        <v>7</v>
      </c>
      <c r="C528">
        <v>681.46002199999998</v>
      </c>
      <c r="D528">
        <v>692.30999759999997</v>
      </c>
      <c r="E528">
        <v>680.84997559999999</v>
      </c>
      <c r="F528">
        <v>690.61999509999998</v>
      </c>
      <c r="G528">
        <v>89127600</v>
      </c>
      <c r="H528">
        <f t="shared" ref="H528:H563" si="120">AVERAGE(F523:F527)</f>
        <v>688.14399412</v>
      </c>
      <c r="I528">
        <f t="shared" si="112"/>
        <v>690.31799315500007</v>
      </c>
      <c r="J528" s="4">
        <f t="shared" si="113"/>
        <v>682.86661160161316</v>
      </c>
      <c r="K528">
        <f t="shared" si="118"/>
        <v>-4.1475717755449686E-3</v>
      </c>
      <c r="L528">
        <f t="shared" si="107"/>
        <v>-8.6220754818692774E-4</v>
      </c>
      <c r="M528" s="3">
        <f t="shared" si="114"/>
        <v>1.817566381269603E-4</v>
      </c>
      <c r="N528" t="str">
        <f t="shared" ca="1" si="115"/>
        <v>wait</v>
      </c>
      <c r="O528">
        <f t="shared" si="108"/>
        <v>-9.7130428763640975E-3</v>
      </c>
      <c r="P528">
        <f t="shared" si="109"/>
        <v>-1.529330940896767E-2</v>
      </c>
      <c r="Q528">
        <f t="shared" si="110"/>
        <v>-1.7952661398721204E-2</v>
      </c>
      <c r="R528">
        <f t="shared" si="119"/>
        <v>-3.9700326506253436E-3</v>
      </c>
      <c r="S528" s="3">
        <f t="shared" si="111"/>
        <v>1.0911913727792672E-2</v>
      </c>
      <c r="T528" s="3">
        <f t="shared" si="116"/>
        <v>-8.7667708105848736E-4</v>
      </c>
      <c r="V528" t="str">
        <f t="shared" si="117"/>
        <v>11-1</v>
      </c>
    </row>
    <row r="529" spans="1:22">
      <c r="A529" s="1">
        <v>46062</v>
      </c>
      <c r="B529" t="s">
        <v>7</v>
      </c>
      <c r="C529">
        <v>689.41998290000004</v>
      </c>
      <c r="D529">
        <v>695.86999509999998</v>
      </c>
      <c r="E529">
        <v>688.3400269</v>
      </c>
      <c r="F529">
        <v>693.95001219999995</v>
      </c>
      <c r="G529">
        <v>73885200</v>
      </c>
      <c r="H529">
        <f t="shared" si="120"/>
        <v>687.87399900000003</v>
      </c>
      <c r="I529">
        <f t="shared" si="112"/>
        <v>690.37349242000016</v>
      </c>
      <c r="J529" s="4">
        <f t="shared" si="113"/>
        <v>683.1941922064517</v>
      </c>
      <c r="K529">
        <f t="shared" si="118"/>
        <v>-1.3775983046798268E-3</v>
      </c>
      <c r="L529">
        <f t="shared" si="107"/>
        <v>-2.4853488579782779E-4</v>
      </c>
      <c r="M529" s="3">
        <f t="shared" si="114"/>
        <v>4.8809994629863513E-4</v>
      </c>
      <c r="N529" t="str">
        <f t="shared" ca="1" si="115"/>
        <v>wait</v>
      </c>
      <c r="O529">
        <f t="shared" si="108"/>
        <v>2.2474812280264267E-3</v>
      </c>
      <c r="P529">
        <f t="shared" si="109"/>
        <v>3.992004500812607E-3</v>
      </c>
      <c r="Q529">
        <f t="shared" si="110"/>
        <v>-1.0211206427646946E-2</v>
      </c>
      <c r="R529">
        <f t="shared" si="119"/>
        <v>7.7414549710742575E-3</v>
      </c>
      <c r="S529" s="3">
        <f t="shared" si="111"/>
        <v>1.050843273471355E-2</v>
      </c>
      <c r="T529" s="3">
        <f t="shared" si="116"/>
        <v>-4.0348099307912187E-4</v>
      </c>
      <c r="V529" t="str">
        <f t="shared" si="117"/>
        <v>11-1</v>
      </c>
    </row>
    <row r="530" spans="1:22">
      <c r="A530" s="1">
        <v>46063</v>
      </c>
      <c r="B530" t="s">
        <v>7</v>
      </c>
      <c r="C530">
        <v>694.95001219999995</v>
      </c>
      <c r="D530">
        <v>696.53997800000002</v>
      </c>
      <c r="E530">
        <v>691.6599731</v>
      </c>
      <c r="F530">
        <v>692.11999509999998</v>
      </c>
      <c r="G530">
        <v>65185700</v>
      </c>
      <c r="H530">
        <f t="shared" si="120"/>
        <v>687.58200681999995</v>
      </c>
      <c r="I530">
        <f t="shared" si="112"/>
        <v>690.3674926650001</v>
      </c>
      <c r="J530" s="4">
        <f t="shared" si="113"/>
        <v>683.56483803709705</v>
      </c>
      <c r="K530">
        <f t="shared" si="118"/>
        <v>1.2820276745559636E-3</v>
      </c>
      <c r="L530">
        <f t="shared" si="107"/>
        <v>-8.7027515019625598E-5</v>
      </c>
      <c r="M530" s="3">
        <f t="shared" si="114"/>
        <v>3.0596994981070108E-4</v>
      </c>
      <c r="N530" t="str">
        <f t="shared" ca="1" si="115"/>
        <v>wait</v>
      </c>
      <c r="O530">
        <f t="shared" si="108"/>
        <v>1.0715820523105712E-2</v>
      </c>
      <c r="P530">
        <f t="shared" si="109"/>
        <v>9.2614485498994092E-3</v>
      </c>
      <c r="Q530">
        <f t="shared" si="110"/>
        <v>1.1024431594797157E-3</v>
      </c>
      <c r="R530">
        <f t="shared" si="119"/>
        <v>1.1313649587126662E-2</v>
      </c>
      <c r="S530" s="3">
        <f t="shared" si="111"/>
        <v>9.9517328121167536E-3</v>
      </c>
      <c r="T530" s="3">
        <f t="shared" si="116"/>
        <v>-5.5669992259679661E-4</v>
      </c>
      <c r="V530" t="str">
        <f t="shared" si="117"/>
        <v>11-1</v>
      </c>
    </row>
    <row r="531" spans="1:22">
      <c r="A531" s="1">
        <v>46064</v>
      </c>
      <c r="B531" t="s">
        <v>7</v>
      </c>
      <c r="C531">
        <v>696.39001459999997</v>
      </c>
      <c r="D531">
        <v>697.14001459999997</v>
      </c>
      <c r="E531">
        <v>689.17999269999996</v>
      </c>
      <c r="F531">
        <v>691.96002199999998</v>
      </c>
      <c r="G531">
        <v>76353900</v>
      </c>
      <c r="H531">
        <f t="shared" si="120"/>
        <v>688.09999997999989</v>
      </c>
      <c r="I531">
        <f t="shared" si="112"/>
        <v>690.21549376500013</v>
      </c>
      <c r="J531" s="4">
        <f t="shared" si="113"/>
        <v>683.73709598387131</v>
      </c>
      <c r="K531">
        <f t="shared" si="118"/>
        <v>1.728382133012539E-3</v>
      </c>
      <c r="L531">
        <f t="shared" si="107"/>
        <v>-1.1891724589001259E-4</v>
      </c>
      <c r="M531" s="3">
        <f t="shared" si="114"/>
        <v>2.2254746461688587E-4</v>
      </c>
      <c r="N531" t="str">
        <f t="shared" ca="1" si="115"/>
        <v>wait</v>
      </c>
      <c r="O531">
        <f t="shared" si="108"/>
        <v>1.2047688737452544E-2</v>
      </c>
      <c r="P531">
        <f t="shared" si="109"/>
        <v>5.842167010778887E-3</v>
      </c>
      <c r="Q531">
        <f t="shared" si="110"/>
        <v>5.1736275542850763E-3</v>
      </c>
      <c r="R531">
        <f t="shared" si="119"/>
        <v>4.0711843948053605E-3</v>
      </c>
      <c r="S531" s="3">
        <f t="shared" si="111"/>
        <v>9.474983614581647E-3</v>
      </c>
      <c r="T531" s="3">
        <f t="shared" si="116"/>
        <v>-4.767491975351066E-4</v>
      </c>
      <c r="V531" t="str">
        <f t="shared" si="117"/>
        <v>11-1</v>
      </c>
    </row>
    <row r="532" spans="1:22">
      <c r="A532" s="1">
        <v>46065</v>
      </c>
      <c r="B532" t="s">
        <v>7</v>
      </c>
      <c r="C532">
        <v>694.23999019999997</v>
      </c>
      <c r="D532">
        <v>695.34997559999999</v>
      </c>
      <c r="E532">
        <v>680.36999509999998</v>
      </c>
      <c r="F532">
        <v>681.27001949999999</v>
      </c>
      <c r="G532">
        <v>118829000</v>
      </c>
      <c r="H532">
        <f t="shared" si="120"/>
        <v>689.25400389999993</v>
      </c>
      <c r="I532">
        <f t="shared" si="112"/>
        <v>690.12499388999993</v>
      </c>
      <c r="J532" s="4">
        <f t="shared" si="113"/>
        <v>683.88161246774234</v>
      </c>
      <c r="K532">
        <f t="shared" si="118"/>
        <v>4.2324686413315665E-3</v>
      </c>
      <c r="L532">
        <f t="shared" si="107"/>
        <v>1.1588422227809735E-4</v>
      </c>
      <c r="M532" s="3">
        <f t="shared" si="114"/>
        <v>2.0925441770998967E-4</v>
      </c>
      <c r="N532" t="str">
        <f t="shared" ca="1" si="115"/>
        <v>wait</v>
      </c>
      <c r="O532">
        <f t="shared" si="108"/>
        <v>7.2338880467692768E-3</v>
      </c>
      <c r="P532">
        <f t="shared" si="109"/>
        <v>3.9260099828055672E-3</v>
      </c>
      <c r="Q532">
        <f t="shared" si="110"/>
        <v>-1.073787015833938E-4</v>
      </c>
      <c r="R532">
        <f t="shared" si="119"/>
        <v>-5.2810062558684701E-3</v>
      </c>
      <c r="S532" s="3">
        <f t="shared" si="111"/>
        <v>9.1293307327400559E-3</v>
      </c>
      <c r="T532" s="3">
        <f t="shared" si="116"/>
        <v>-3.4565288184159118E-4</v>
      </c>
      <c r="V532" t="str">
        <f t="shared" si="117"/>
        <v>11-1</v>
      </c>
    </row>
    <row r="533" spans="1:22">
      <c r="A533" s="1">
        <v>46066</v>
      </c>
      <c r="B533" t="s">
        <v>7</v>
      </c>
      <c r="C533">
        <v>681.69000240000003</v>
      </c>
      <c r="D533">
        <v>686.28002930000002</v>
      </c>
      <c r="E533">
        <v>677.52001949999999</v>
      </c>
      <c r="F533">
        <v>681.75</v>
      </c>
      <c r="G533">
        <v>96267500</v>
      </c>
      <c r="H533">
        <f t="shared" si="120"/>
        <v>689.98400877999995</v>
      </c>
      <c r="I533">
        <f t="shared" si="112"/>
        <v>689.67049559500003</v>
      </c>
      <c r="J533" s="4">
        <f t="shared" si="113"/>
        <v>683.8475804451615</v>
      </c>
      <c r="K533">
        <f t="shared" si="118"/>
        <v>-2.7077048641333187E-3</v>
      </c>
      <c r="L533">
        <f t="shared" si="107"/>
        <v>-7.9235314741283333E-4</v>
      </c>
      <c r="M533" s="3">
        <f t="shared" si="114"/>
        <v>2.2890606219262672E-4</v>
      </c>
      <c r="N533" t="str">
        <f t="shared" ca="1" si="115"/>
        <v>wait</v>
      </c>
      <c r="O533">
        <f t="shared" si="108"/>
        <v>-1.202057768652498E-2</v>
      </c>
      <c r="P533">
        <f t="shared" si="109"/>
        <v>-1.2629262662779195E-2</v>
      </c>
      <c r="Q533">
        <f t="shared" si="110"/>
        <v>-1.3933676081854474E-2</v>
      </c>
      <c r="R533">
        <f t="shared" si="119"/>
        <v>-1.382629738027108E-2</v>
      </c>
      <c r="S533" s="3">
        <f t="shared" si="111"/>
        <v>8.5149312746679844E-3</v>
      </c>
      <c r="T533" s="3">
        <f t="shared" si="116"/>
        <v>-6.1439945807207144E-4</v>
      </c>
      <c r="V533" t="str">
        <f t="shared" si="117"/>
        <v>11-1</v>
      </c>
    </row>
    <row r="534" spans="1:22">
      <c r="A534" s="1">
        <v>46070</v>
      </c>
      <c r="B534" t="s">
        <v>7</v>
      </c>
      <c r="C534">
        <v>680.14001459999997</v>
      </c>
      <c r="D534">
        <v>684.94000240000003</v>
      </c>
      <c r="E534">
        <v>675.78002930000002</v>
      </c>
      <c r="F534">
        <v>682.84997559999999</v>
      </c>
      <c r="G534">
        <v>81354700</v>
      </c>
      <c r="H534">
        <f t="shared" si="120"/>
        <v>688.21000975999993</v>
      </c>
      <c r="I534">
        <f t="shared" si="112"/>
        <v>689.14599608499998</v>
      </c>
      <c r="J534" s="4">
        <f t="shared" si="113"/>
        <v>684.00419370322595</v>
      </c>
      <c r="K534">
        <f t="shared" si="118"/>
        <v>-3.5161069199560273E-3</v>
      </c>
      <c r="L534">
        <f t="shared" si="107"/>
        <v>-7.1639053042087922E-4</v>
      </c>
      <c r="M534" s="3">
        <f t="shared" si="114"/>
        <v>2.4357714361830429E-4</v>
      </c>
      <c r="N534" t="str">
        <f t="shared" ca="1" si="115"/>
        <v>wait</v>
      </c>
      <c r="O534">
        <f t="shared" si="108"/>
        <v>-1.1726064784809198E-2</v>
      </c>
      <c r="P534">
        <f t="shared" si="109"/>
        <v>-9.3866838150941101E-3</v>
      </c>
      <c r="Q534">
        <f t="shared" si="110"/>
        <v>-1.5533035132296091E-2</v>
      </c>
      <c r="R534">
        <f t="shared" si="119"/>
        <v>-1.5993590504416177E-3</v>
      </c>
      <c r="S534" s="3">
        <f t="shared" si="111"/>
        <v>7.5172088550160849E-3</v>
      </c>
      <c r="T534" s="3">
        <f t="shared" si="116"/>
        <v>-9.9772241965189953E-4</v>
      </c>
      <c r="V534" t="str">
        <f t="shared" si="117"/>
        <v>11-1</v>
      </c>
    </row>
    <row r="535" spans="1:22">
      <c r="A535" s="1">
        <v>46071</v>
      </c>
      <c r="B535" t="s">
        <v>7</v>
      </c>
      <c r="C535">
        <v>684.02001949999999</v>
      </c>
      <c r="D535">
        <v>689.15002440000001</v>
      </c>
      <c r="E535">
        <v>682.83001709999996</v>
      </c>
      <c r="F535">
        <v>686.28997800000002</v>
      </c>
      <c r="G535">
        <v>73570300</v>
      </c>
      <c r="H535">
        <f t="shared" si="120"/>
        <v>685.99000244000001</v>
      </c>
      <c r="I535">
        <f t="shared" si="112"/>
        <v>688.70549620999986</v>
      </c>
      <c r="J535" s="4">
        <f t="shared" si="113"/>
        <v>684.18032245967765</v>
      </c>
      <c r="K535">
        <f t="shared" si="118"/>
        <v>-2.678731886270855E-3</v>
      </c>
      <c r="L535">
        <f t="shared" ref="L535:L564" si="121">(F534-F515)/F515/20</f>
        <v>3.8888089723743049E-4</v>
      </c>
      <c r="M535" s="3">
        <f t="shared" si="114"/>
        <v>4.3014289215693866E-4</v>
      </c>
      <c r="N535" t="str">
        <f t="shared" ca="1" si="115"/>
        <v>wait</v>
      </c>
      <c r="O535">
        <f t="shared" ref="O535:O564" si="122">C535/H535-1</f>
        <v>-2.8717370996559355E-3</v>
      </c>
      <c r="P535">
        <f t="shared" ref="P535:P564" si="123">F534/H535-1</f>
        <v>-4.5773653097439526E-3</v>
      </c>
      <c r="Q535">
        <f t="shared" ref="Q535:Q564" si="124">E534/H535-1</f>
        <v>-1.4883559678252056E-2</v>
      </c>
      <c r="R535">
        <f t="shared" si="119"/>
        <v>6.4947545404403506E-4</v>
      </c>
      <c r="S535" s="3">
        <f t="shared" ref="S535:S564" si="125">(I535-J535)/J535</f>
        <v>6.6140074506292196E-3</v>
      </c>
      <c r="T535" s="3">
        <f t="shared" si="116"/>
        <v>-9.0320140438686532E-4</v>
      </c>
      <c r="V535" t="str">
        <f t="shared" si="117"/>
        <v>11-1</v>
      </c>
    </row>
    <row r="536" spans="1:22">
      <c r="A536" s="1">
        <v>46072</v>
      </c>
      <c r="B536" t="s">
        <v>7</v>
      </c>
      <c r="C536">
        <v>683.8400269</v>
      </c>
      <c r="D536">
        <v>686.17999269999996</v>
      </c>
      <c r="E536">
        <v>681.54998780000005</v>
      </c>
      <c r="F536">
        <v>684.47998050000001</v>
      </c>
      <c r="G536">
        <v>58649400</v>
      </c>
      <c r="H536">
        <f t="shared" si="120"/>
        <v>684.82399901999997</v>
      </c>
      <c r="I536">
        <f t="shared" si="112"/>
        <v>689.1409942549999</v>
      </c>
      <c r="J536" s="4">
        <f t="shared" si="113"/>
        <v>684.51290302580674</v>
      </c>
      <c r="K536">
        <f t="shared" si="118"/>
        <v>-1.6388357187490702E-3</v>
      </c>
      <c r="L536">
        <f t="shared" si="121"/>
        <v>6.4922203699881615E-5</v>
      </c>
      <c r="M536" s="3">
        <f t="shared" si="114"/>
        <v>6.6178746568613196E-4</v>
      </c>
      <c r="N536" t="str">
        <f t="shared" ca="1" si="115"/>
        <v>wait</v>
      </c>
      <c r="O536">
        <f t="shared" si="122"/>
        <v>-1.4368248212797141E-3</v>
      </c>
      <c r="P536">
        <f t="shared" si="123"/>
        <v>2.1406653126903041E-3</v>
      </c>
      <c r="Q536">
        <f t="shared" si="124"/>
        <v>-2.9116706231870904E-3</v>
      </c>
      <c r="R536">
        <f t="shared" si="119"/>
        <v>1.1971889055064966E-2</v>
      </c>
      <c r="S536" s="3">
        <f t="shared" si="125"/>
        <v>6.7611453469105416E-3</v>
      </c>
      <c r="T536" s="3">
        <f t="shared" si="116"/>
        <v>1.4713789628132204E-4</v>
      </c>
      <c r="V536" t="str">
        <f t="shared" si="117"/>
        <v>111</v>
      </c>
    </row>
    <row r="537" spans="1:22">
      <c r="A537" s="1">
        <v>46073</v>
      </c>
      <c r="B537" t="s">
        <v>7</v>
      </c>
      <c r="C537">
        <v>682.32000730000004</v>
      </c>
      <c r="D537">
        <v>690.05999759999997</v>
      </c>
      <c r="E537">
        <v>681.72998050000001</v>
      </c>
      <c r="F537">
        <v>689.42999269999996</v>
      </c>
      <c r="G537">
        <v>100034000</v>
      </c>
      <c r="H537">
        <f t="shared" si="120"/>
        <v>683.32799072</v>
      </c>
      <c r="I537">
        <f t="shared" si="112"/>
        <v>689.09499205999998</v>
      </c>
      <c r="J537" s="4">
        <f t="shared" si="113"/>
        <v>684.90645082258095</v>
      </c>
      <c r="K537">
        <f t="shared" si="118"/>
        <v>9.4234617937712475E-4</v>
      </c>
      <c r="L537">
        <f t="shared" si="121"/>
        <v>-3.2656972099060866E-4</v>
      </c>
      <c r="M537" s="3">
        <f t="shared" si="114"/>
        <v>5.4957707515064546E-4</v>
      </c>
      <c r="N537" t="str">
        <f t="shared" ca="1" si="115"/>
        <v>wait</v>
      </c>
      <c r="O537">
        <f t="shared" si="122"/>
        <v>-1.475109220885118E-3</v>
      </c>
      <c r="P537">
        <f t="shared" si="123"/>
        <v>1.6858518832021385E-3</v>
      </c>
      <c r="Q537">
        <f t="shared" si="124"/>
        <v>-2.6019758361230938E-3</v>
      </c>
      <c r="R537">
        <f t="shared" si="119"/>
        <v>3.0969478706399656E-4</v>
      </c>
      <c r="S537" s="3">
        <f t="shared" si="125"/>
        <v>6.1154939224014344E-3</v>
      </c>
      <c r="T537" s="3">
        <f t="shared" si="116"/>
        <v>-6.4565142450910724E-4</v>
      </c>
      <c r="V537" t="str">
        <f t="shared" si="117"/>
        <v>11-1</v>
      </c>
    </row>
    <row r="538" spans="1:22">
      <c r="A538" s="1">
        <v>46076</v>
      </c>
      <c r="B538" t="s">
        <v>7</v>
      </c>
      <c r="C538">
        <v>687.83001709999996</v>
      </c>
      <c r="D538">
        <v>690</v>
      </c>
      <c r="E538">
        <v>680.36999509999998</v>
      </c>
      <c r="F538">
        <v>682.39001459999997</v>
      </c>
      <c r="G538">
        <v>90558100</v>
      </c>
      <c r="H538">
        <f t="shared" si="120"/>
        <v>684.95998536000002</v>
      </c>
      <c r="I538">
        <f t="shared" si="112"/>
        <v>689.11749266999993</v>
      </c>
      <c r="J538" s="4">
        <f t="shared" si="113"/>
        <v>685.33870869032273</v>
      </c>
      <c r="K538">
        <f t="shared" si="118"/>
        <v>2.2530231609827521E-3</v>
      </c>
      <c r="L538">
        <f t="shared" si="121"/>
        <v>1.4509830220592562E-5</v>
      </c>
      <c r="M538" s="3">
        <f t="shared" si="114"/>
        <v>9.4248442582747945E-4</v>
      </c>
      <c r="N538" t="str">
        <f t="shared" ca="1" si="115"/>
        <v>wait</v>
      </c>
      <c r="O538">
        <f t="shared" si="122"/>
        <v>4.1900721229599647E-3</v>
      </c>
      <c r="P538">
        <f t="shared" si="123"/>
        <v>6.5259393768097862E-3</v>
      </c>
      <c r="Q538">
        <f t="shared" si="124"/>
        <v>-4.7156110269745977E-3</v>
      </c>
      <c r="R538">
        <f t="shared" si="119"/>
        <v>-2.1136351908515039E-3</v>
      </c>
      <c r="S538" s="3">
        <f t="shared" si="125"/>
        <v>5.5137466069856596E-3</v>
      </c>
      <c r="T538" s="3">
        <f t="shared" si="116"/>
        <v>-6.0174731541577479E-4</v>
      </c>
      <c r="V538" t="str">
        <f t="shared" si="117"/>
        <v>11-1</v>
      </c>
    </row>
    <row r="539" spans="1:22">
      <c r="A539" s="1">
        <v>46077</v>
      </c>
      <c r="B539" t="s">
        <v>7</v>
      </c>
      <c r="C539">
        <v>681.90002440000001</v>
      </c>
      <c r="D539">
        <v>688.34997559999999</v>
      </c>
      <c r="E539">
        <v>680</v>
      </c>
      <c r="F539">
        <v>687.34997559999999</v>
      </c>
      <c r="G539">
        <v>73798700</v>
      </c>
      <c r="H539">
        <f t="shared" si="120"/>
        <v>685.0879882800001</v>
      </c>
      <c r="I539">
        <f t="shared" si="112"/>
        <v>688.77549437499988</v>
      </c>
      <c r="J539" s="4">
        <f t="shared" si="113"/>
        <v>685.8203213564517</v>
      </c>
      <c r="K539">
        <f t="shared" si="118"/>
        <v>-1.3471802487680169E-4</v>
      </c>
      <c r="L539">
        <f t="shared" si="121"/>
        <v>-7.4632008077208073E-4</v>
      </c>
      <c r="M539" s="3">
        <f t="shared" si="114"/>
        <v>5.9076684069596841E-4</v>
      </c>
      <c r="N539" t="str">
        <f t="shared" ca="1" si="115"/>
        <v>wait</v>
      </c>
      <c r="O539">
        <f t="shared" si="122"/>
        <v>-4.6533641437852546E-3</v>
      </c>
      <c r="P539">
        <f t="shared" si="123"/>
        <v>-3.9381418535358037E-3</v>
      </c>
      <c r="Q539">
        <f t="shared" si="124"/>
        <v>-6.886696688180538E-3</v>
      </c>
      <c r="R539">
        <f t="shared" si="119"/>
        <v>-2.1710856612059404E-3</v>
      </c>
      <c r="S539" s="3">
        <f t="shared" si="125"/>
        <v>4.3089610011894696E-3</v>
      </c>
      <c r="T539" s="3">
        <f t="shared" si="116"/>
        <v>-1.20478560579619E-3</v>
      </c>
      <c r="V539" t="str">
        <f t="shared" si="117"/>
        <v>11-1</v>
      </c>
    </row>
    <row r="540" spans="1:22">
      <c r="A540" s="1">
        <v>46078</v>
      </c>
      <c r="B540" t="s">
        <v>7</v>
      </c>
      <c r="C540">
        <v>690.17999269999996</v>
      </c>
      <c r="D540">
        <v>693.67999269999996</v>
      </c>
      <c r="E540">
        <v>690.09997559999999</v>
      </c>
      <c r="F540">
        <v>693.15002440000001</v>
      </c>
      <c r="G540">
        <v>56369500</v>
      </c>
      <c r="H540">
        <f t="shared" si="120"/>
        <v>685.98798828000008</v>
      </c>
      <c r="I540">
        <f t="shared" si="112"/>
        <v>688.50649412999996</v>
      </c>
      <c r="J540" s="4">
        <f t="shared" si="113"/>
        <v>686.27709468387116</v>
      </c>
      <c r="K540">
        <f t="shared" si="118"/>
        <v>3.0890662372457791E-4</v>
      </c>
      <c r="L540">
        <f t="shared" si="121"/>
        <v>-5.8519998236489159E-4</v>
      </c>
      <c r="M540" s="3">
        <f t="shared" si="114"/>
        <v>4.6406361418794857E-4</v>
      </c>
      <c r="N540" t="str">
        <f t="shared" ca="1" si="115"/>
        <v>wait</v>
      </c>
      <c r="O540">
        <f t="shared" si="122"/>
        <v>6.1109006157828993E-3</v>
      </c>
      <c r="P540">
        <f t="shared" si="123"/>
        <v>1.9854390211917483E-3</v>
      </c>
      <c r="Q540">
        <f t="shared" si="124"/>
        <v>-8.7289987321993445E-3</v>
      </c>
      <c r="R540">
        <f t="shared" si="119"/>
        <v>-1.8423020440188065E-3</v>
      </c>
      <c r="S540" s="3">
        <f t="shared" si="125"/>
        <v>3.2485412428863982E-3</v>
      </c>
      <c r="T540" s="3">
        <f t="shared" si="116"/>
        <v>-1.0604197583030713E-3</v>
      </c>
      <c r="V540" t="str">
        <f t="shared" si="117"/>
        <v>11-1</v>
      </c>
    </row>
    <row r="541" spans="1:22">
      <c r="A541" s="1">
        <v>46079</v>
      </c>
      <c r="B541" t="s">
        <v>7</v>
      </c>
      <c r="C541">
        <v>693.28002930000002</v>
      </c>
      <c r="D541">
        <v>693.29998780000005</v>
      </c>
      <c r="E541">
        <v>684.34997559999999</v>
      </c>
      <c r="F541">
        <v>689.29998780000005</v>
      </c>
      <c r="G541">
        <v>71671000</v>
      </c>
      <c r="H541">
        <f t="shared" si="120"/>
        <v>687.35999756000001</v>
      </c>
      <c r="I541">
        <f t="shared" si="112"/>
        <v>688.38949584</v>
      </c>
      <c r="J541" s="4">
        <f t="shared" si="113"/>
        <v>686.67096635967755</v>
      </c>
      <c r="K541">
        <f t="shared" si="118"/>
        <v>2.5333228573512665E-3</v>
      </c>
      <c r="L541">
        <f t="shared" si="121"/>
        <v>-1.6320774178317255E-4</v>
      </c>
      <c r="M541" s="3">
        <f t="shared" si="114"/>
        <v>4.4764116560150943E-4</v>
      </c>
      <c r="N541" t="str">
        <f t="shared" ca="1" si="115"/>
        <v>wait</v>
      </c>
      <c r="O541">
        <f t="shared" si="122"/>
        <v>8.6127091495213914E-3</v>
      </c>
      <c r="P541">
        <f t="shared" si="123"/>
        <v>8.42357259740667E-3</v>
      </c>
      <c r="Q541">
        <f t="shared" si="124"/>
        <v>3.986234360053631E-3</v>
      </c>
      <c r="R541">
        <f t="shared" si="119"/>
        <v>1.2715233092252975E-2</v>
      </c>
      <c r="S541" s="3">
        <f t="shared" si="125"/>
        <v>2.5026971643101058E-3</v>
      </c>
      <c r="T541" s="3">
        <f t="shared" si="116"/>
        <v>-7.4584407857629246E-4</v>
      </c>
      <c r="V541" t="str">
        <f t="shared" si="117"/>
        <v>11-1</v>
      </c>
    </row>
    <row r="542" spans="1:22">
      <c r="A542" s="1">
        <v>46080</v>
      </c>
      <c r="B542" t="s">
        <v>7</v>
      </c>
      <c r="C542">
        <v>683.0900269</v>
      </c>
      <c r="D542">
        <v>686.85998540000003</v>
      </c>
      <c r="E542">
        <v>681.64001459999997</v>
      </c>
      <c r="F542">
        <v>685.98999019999997</v>
      </c>
      <c r="G542">
        <v>83308900</v>
      </c>
      <c r="H542">
        <f t="shared" si="120"/>
        <v>688.32399901999997</v>
      </c>
      <c r="I542">
        <f t="shared" si="112"/>
        <v>688.08349608499998</v>
      </c>
      <c r="J542" s="4">
        <f t="shared" si="113"/>
        <v>686.90128842903232</v>
      </c>
      <c r="K542">
        <f t="shared" si="118"/>
        <v>-3.7713734933627732E-5</v>
      </c>
      <c r="L542">
        <f t="shared" si="121"/>
        <v>-3.4147818211128795E-4</v>
      </c>
      <c r="M542" s="3">
        <f t="shared" si="114"/>
        <v>2.3589520566840762E-4</v>
      </c>
      <c r="N542" t="str">
        <f t="shared" ca="1" si="115"/>
        <v>wait</v>
      </c>
      <c r="O542">
        <f t="shared" si="122"/>
        <v>-7.6039367034300698E-3</v>
      </c>
      <c r="P542">
        <f t="shared" si="123"/>
        <v>1.4179206033635428E-3</v>
      </c>
      <c r="Q542">
        <f t="shared" si="124"/>
        <v>-5.7734779343129317E-3</v>
      </c>
      <c r="R542">
        <f t="shared" si="119"/>
        <v>-9.7597122943665626E-3</v>
      </c>
      <c r="S542" s="3">
        <f t="shared" si="125"/>
        <v>1.721073574736495E-3</v>
      </c>
      <c r="T542" s="3">
        <f t="shared" si="116"/>
        <v>-7.8162358957361081E-4</v>
      </c>
      <c r="V542" t="str">
        <f t="shared" si="117"/>
        <v>11-1</v>
      </c>
    </row>
    <row r="543" spans="1:22">
      <c r="A543" s="1">
        <v>46083</v>
      </c>
      <c r="B543" t="s">
        <v>7</v>
      </c>
      <c r="C543">
        <v>678.70001219999995</v>
      </c>
      <c r="D543">
        <v>688.61999509999998</v>
      </c>
      <c r="E543">
        <v>678.02001949999999</v>
      </c>
      <c r="F543">
        <v>686.38000490000002</v>
      </c>
      <c r="G543">
        <v>87477200</v>
      </c>
      <c r="H543">
        <f t="shared" si="120"/>
        <v>687.63599852000004</v>
      </c>
      <c r="I543">
        <f t="shared" si="112"/>
        <v>687.68099669499986</v>
      </c>
      <c r="J543" s="4">
        <f t="shared" si="113"/>
        <v>687.00306258225828</v>
      </c>
      <c r="K543">
        <f t="shared" si="118"/>
        <v>1.0551079362174458E-3</v>
      </c>
      <c r="L543">
        <f t="shared" si="121"/>
        <v>-4.3209826677526449E-4</v>
      </c>
      <c r="M543" s="3">
        <f t="shared" si="114"/>
        <v>6.3408779380585582E-5</v>
      </c>
      <c r="N543" t="str">
        <f t="shared" ca="1" si="115"/>
        <v>wait</v>
      </c>
      <c r="O543">
        <f t="shared" si="122"/>
        <v>-1.2995227619311711E-2</v>
      </c>
      <c r="P543">
        <f t="shared" si="123"/>
        <v>-2.393720403735089E-3</v>
      </c>
      <c r="Q543">
        <f t="shared" si="124"/>
        <v>-8.71970625869678E-3</v>
      </c>
      <c r="R543">
        <f t="shared" si="119"/>
        <v>-2.9462283243838483E-3</v>
      </c>
      <c r="S543" s="3">
        <f t="shared" si="125"/>
        <v>9.8679925849735135E-4</v>
      </c>
      <c r="T543" s="3">
        <f t="shared" si="116"/>
        <v>-7.3427431623914363E-4</v>
      </c>
      <c r="V543" t="str">
        <f t="shared" si="117"/>
        <v>11-1</v>
      </c>
    </row>
    <row r="544" spans="1:22">
      <c r="A544" s="1">
        <v>46084</v>
      </c>
      <c r="B544" t="s">
        <v>7</v>
      </c>
      <c r="C544">
        <v>675.05999759999997</v>
      </c>
      <c r="D544">
        <v>682.60998540000003</v>
      </c>
      <c r="E544">
        <v>669.6599731</v>
      </c>
      <c r="F544">
        <v>680.33001709999996</v>
      </c>
      <c r="G544">
        <v>105003100</v>
      </c>
      <c r="H544">
        <f t="shared" si="120"/>
        <v>688.43399657999998</v>
      </c>
      <c r="I544">
        <f t="shared" si="112"/>
        <v>687.40149840499987</v>
      </c>
      <c r="J544" s="4">
        <f t="shared" si="113"/>
        <v>687.05128823225823</v>
      </c>
      <c r="K544">
        <f t="shared" si="118"/>
        <v>-2.8223488308216541E-4</v>
      </c>
      <c r="L544">
        <f t="shared" si="121"/>
        <v>-6.4925501138171583E-4</v>
      </c>
      <c r="M544" s="3">
        <f t="shared" si="114"/>
        <v>1.4969510206380699E-4</v>
      </c>
      <c r="N544" t="str">
        <f t="shared" ca="1" si="115"/>
        <v>wait</v>
      </c>
      <c r="O544">
        <f t="shared" si="122"/>
        <v>-1.9426697470548149E-2</v>
      </c>
      <c r="P544">
        <f t="shared" si="123"/>
        <v>-2.9835709598942106E-3</v>
      </c>
      <c r="Q544">
        <f t="shared" si="124"/>
        <v>-1.5127052312544853E-2</v>
      </c>
      <c r="R544">
        <f t="shared" si="119"/>
        <v>-6.4073460538480731E-3</v>
      </c>
      <c r="S544" s="3">
        <f t="shared" si="125"/>
        <v>5.0972930076691951E-4</v>
      </c>
      <c r="T544" s="3">
        <f t="shared" si="116"/>
        <v>-4.7706995773043185E-4</v>
      </c>
      <c r="V544" t="str">
        <f t="shared" si="117"/>
        <v>11-1</v>
      </c>
    </row>
    <row r="545" spans="1:22">
      <c r="A545" s="1">
        <v>46085</v>
      </c>
      <c r="B545" t="s">
        <v>7</v>
      </c>
      <c r="C545">
        <v>681.63000490000002</v>
      </c>
      <c r="D545">
        <v>687.0900269</v>
      </c>
      <c r="E545">
        <v>679.61999509999998</v>
      </c>
      <c r="F545">
        <v>685.13000490000002</v>
      </c>
      <c r="G545">
        <v>79182200</v>
      </c>
      <c r="H545">
        <f t="shared" si="120"/>
        <v>687.03000487999998</v>
      </c>
      <c r="I545">
        <f t="shared" si="112"/>
        <v>686.64750060499989</v>
      </c>
      <c r="J545" s="4">
        <f t="shared" si="113"/>
        <v>687.05225593548391</v>
      </c>
      <c r="K545">
        <f t="shared" si="118"/>
        <v>-3.6990570147053558E-3</v>
      </c>
      <c r="L545">
        <f t="shared" si="121"/>
        <v>-6.6712193878921901E-4</v>
      </c>
      <c r="M545" s="3">
        <f t="shared" si="114"/>
        <v>-2.9346033884782096E-5</v>
      </c>
      <c r="N545" t="str">
        <f t="shared" ca="1" si="115"/>
        <v>wait</v>
      </c>
      <c r="O545">
        <f t="shared" si="122"/>
        <v>-7.8599186958990819E-3</v>
      </c>
      <c r="P545">
        <f t="shared" si="123"/>
        <v>-9.7521035943259893E-3</v>
      </c>
      <c r="Q545">
        <f t="shared" si="124"/>
        <v>-2.5282784822525883E-2</v>
      </c>
      <c r="R545">
        <f t="shared" si="119"/>
        <v>-1.015573250998103E-2</v>
      </c>
      <c r="S545" s="3">
        <f t="shared" si="125"/>
        <v>-5.8911869801360462E-4</v>
      </c>
      <c r="T545" s="3">
        <f t="shared" si="116"/>
        <v>-1.098847998780524E-3</v>
      </c>
      <c r="V545" t="str">
        <f t="shared" si="117"/>
        <v>-1-1-1</v>
      </c>
    </row>
    <row r="546" spans="1:22">
      <c r="A546" s="1">
        <v>46086</v>
      </c>
      <c r="B546" t="s">
        <v>7</v>
      </c>
      <c r="C546">
        <v>682.08001709999996</v>
      </c>
      <c r="D546">
        <v>685.53002930000002</v>
      </c>
      <c r="E546">
        <v>675.60998540000003</v>
      </c>
      <c r="F546">
        <v>681.30999759999997</v>
      </c>
      <c r="G546">
        <v>106606500</v>
      </c>
      <c r="H546">
        <f t="shared" si="120"/>
        <v>685.42600098000003</v>
      </c>
      <c r="I546">
        <f t="shared" ref="I546:I563" si="126">AVERAGE(F526:F545)</f>
        <v>686.42749938499992</v>
      </c>
      <c r="J546" s="4">
        <f t="shared" si="113"/>
        <v>687.11032005806464</v>
      </c>
      <c r="K546">
        <f t="shared" si="118"/>
        <v>-1.2099181702611473E-3</v>
      </c>
      <c r="L546">
        <f t="shared" si="121"/>
        <v>-7.7237900311326988E-5</v>
      </c>
      <c r="M546" s="3">
        <f t="shared" si="114"/>
        <v>3.021904773984508E-5</v>
      </c>
      <c r="N546" t="str">
        <f t="shared" ca="1" si="115"/>
        <v>wait</v>
      </c>
      <c r="O546">
        <f t="shared" si="122"/>
        <v>-4.8816121291227477E-3</v>
      </c>
      <c r="P546">
        <f t="shared" si="123"/>
        <v>-4.3184250316852246E-4</v>
      </c>
      <c r="Q546">
        <f t="shared" si="124"/>
        <v>-8.470653099968195E-3</v>
      </c>
      <c r="R546">
        <f t="shared" si="119"/>
        <v>1.6812131722557688E-2</v>
      </c>
      <c r="S546" s="3">
        <f t="shared" si="125"/>
        <v>-9.9375697487271504E-4</v>
      </c>
      <c r="T546" s="3">
        <f t="shared" si="116"/>
        <v>-4.0463827685911042E-4</v>
      </c>
      <c r="V546" t="str">
        <f t="shared" si="117"/>
        <v>1-1-1</v>
      </c>
    </row>
    <row r="547" spans="1:22">
      <c r="A547" s="1">
        <v>46087</v>
      </c>
      <c r="B547" t="s">
        <v>7</v>
      </c>
      <c r="C547">
        <v>673.4099731</v>
      </c>
      <c r="D547">
        <v>676.10998540000003</v>
      </c>
      <c r="E547">
        <v>669.76000980000003</v>
      </c>
      <c r="F547">
        <v>672.38000490000002</v>
      </c>
      <c r="G547">
        <v>100687000</v>
      </c>
      <c r="H547">
        <f t="shared" si="120"/>
        <v>683.82800294000003</v>
      </c>
      <c r="I547">
        <f t="shared" si="126"/>
        <v>686.18349914499993</v>
      </c>
      <c r="J547" s="4">
        <f t="shared" si="113"/>
        <v>687.06870688064521</v>
      </c>
      <c r="K547">
        <f t="shared" si="118"/>
        <v>-1.3644492388687893E-3</v>
      </c>
      <c r="L547">
        <f t="shared" si="121"/>
        <v>2.7227668358985172E-4</v>
      </c>
      <c r="M547" s="3">
        <f t="shared" si="114"/>
        <v>-7.5006378777558858E-5</v>
      </c>
      <c r="N547" t="str">
        <f t="shared" ca="1" si="115"/>
        <v>wait</v>
      </c>
      <c r="O547">
        <f t="shared" si="122"/>
        <v>-1.5234868702670101E-2</v>
      </c>
      <c r="P547">
        <f t="shared" si="123"/>
        <v>-3.6822202793309611E-3</v>
      </c>
      <c r="Q547">
        <f t="shared" si="124"/>
        <v>-1.2017667461215464E-2</v>
      </c>
      <c r="R547">
        <f t="shared" si="119"/>
        <v>-3.5470143612472693E-3</v>
      </c>
      <c r="S547" s="3">
        <f t="shared" si="125"/>
        <v>-1.2883831366213797E-3</v>
      </c>
      <c r="T547" s="3">
        <f t="shared" si="116"/>
        <v>-2.9462616174866468E-4</v>
      </c>
      <c r="V547" t="str">
        <f t="shared" si="117"/>
        <v>-1-1-1</v>
      </c>
    </row>
    <row r="548" spans="1:22">
      <c r="A548" s="1">
        <v>46090</v>
      </c>
      <c r="B548" t="s">
        <v>7</v>
      </c>
      <c r="C548">
        <v>666.39001459999997</v>
      </c>
      <c r="D548">
        <v>679.91998290000004</v>
      </c>
      <c r="E548">
        <v>662.39001459999997</v>
      </c>
      <c r="F548">
        <v>678.27001949999999</v>
      </c>
      <c r="G548">
        <v>102667700</v>
      </c>
      <c r="H548">
        <f t="shared" si="120"/>
        <v>681.10600588</v>
      </c>
      <c r="I548">
        <f t="shared" si="126"/>
        <v>685.92149963499992</v>
      </c>
      <c r="J548" s="4">
        <f t="shared" si="113"/>
        <v>686.87499704677441</v>
      </c>
      <c r="K548">
        <f t="shared" si="118"/>
        <v>-4.0793729129797963E-3</v>
      </c>
      <c r="L548">
        <f t="shared" si="121"/>
        <v>-1.320551846848777E-3</v>
      </c>
      <c r="M548" s="3">
        <f t="shared" si="114"/>
        <v>-3.2351834048946726E-4</v>
      </c>
      <c r="N548" t="str">
        <f t="shared" ca="1" si="115"/>
        <v>wait</v>
      </c>
      <c r="O548">
        <f t="shared" si="122"/>
        <v>-2.1606021901079409E-2</v>
      </c>
      <c r="P548">
        <f t="shared" si="123"/>
        <v>-1.2811516716440985E-2</v>
      </c>
      <c r="Q548">
        <f t="shared" si="124"/>
        <v>-1.6658194146065064E-2</v>
      </c>
      <c r="R548">
        <f t="shared" si="119"/>
        <v>-4.6405266848495996E-3</v>
      </c>
      <c r="S548" s="3">
        <f t="shared" si="125"/>
        <v>-1.3881673024554156E-3</v>
      </c>
      <c r="T548" s="3">
        <f t="shared" si="116"/>
        <v>-9.9784165834035854E-5</v>
      </c>
      <c r="V548" t="str">
        <f t="shared" si="117"/>
        <v>-1-1-1</v>
      </c>
    </row>
    <row r="549" spans="1:22">
      <c r="A549" s="1">
        <v>46091</v>
      </c>
      <c r="B549" t="s">
        <v>7</v>
      </c>
      <c r="C549">
        <v>677.71997069999998</v>
      </c>
      <c r="D549">
        <v>683.35998540000003</v>
      </c>
      <c r="E549">
        <v>674.76000980000003</v>
      </c>
      <c r="F549">
        <v>677.17999269999996</v>
      </c>
      <c r="G549">
        <v>81505300</v>
      </c>
      <c r="H549">
        <f t="shared" si="120"/>
        <v>679.48400880000008</v>
      </c>
      <c r="I549">
        <f t="shared" si="126"/>
        <v>685.30400085499991</v>
      </c>
      <c r="J549" s="4">
        <f t="shared" si="113"/>
        <v>686.75531990322588</v>
      </c>
      <c r="K549">
        <f t="shared" si="118"/>
        <v>-6.0558774366034781E-4</v>
      </c>
      <c r="L549">
        <f t="shared" si="121"/>
        <v>-1.1297638464109502E-3</v>
      </c>
      <c r="M549" s="3">
        <f t="shared" si="114"/>
        <v>-1.3067461837499059E-4</v>
      </c>
      <c r="N549" t="str">
        <f t="shared" ca="1" si="115"/>
        <v>wait</v>
      </c>
      <c r="O549">
        <f t="shared" si="122"/>
        <v>-2.5961436577668362E-3</v>
      </c>
      <c r="P549">
        <f t="shared" si="123"/>
        <v>-1.7866340992248597E-3</v>
      </c>
      <c r="Q549">
        <f t="shared" si="124"/>
        <v>-2.5157316402764085E-2</v>
      </c>
      <c r="R549">
        <f t="shared" si="119"/>
        <v>-8.499122256699021E-3</v>
      </c>
      <c r="S549" s="3">
        <f t="shared" si="125"/>
        <v>-2.113298588543124E-3</v>
      </c>
      <c r="T549" s="3">
        <f t="shared" si="116"/>
        <v>-7.2513128608770838E-4</v>
      </c>
      <c r="V549" t="str">
        <f t="shared" si="117"/>
        <v>-1-1-1</v>
      </c>
    </row>
    <row r="550" spans="1:22">
      <c r="A550" s="1">
        <v>46092</v>
      </c>
      <c r="B550" t="s">
        <v>7</v>
      </c>
      <c r="C550">
        <v>677.58001709999996</v>
      </c>
      <c r="D550">
        <v>680.08001709999996</v>
      </c>
      <c r="E550">
        <v>673.3400269</v>
      </c>
      <c r="F550">
        <v>676.33001709999996</v>
      </c>
      <c r="G550">
        <v>68441700</v>
      </c>
      <c r="H550">
        <f t="shared" si="120"/>
        <v>678.85400392000008</v>
      </c>
      <c r="I550">
        <f t="shared" si="126"/>
        <v>684.46549987999992</v>
      </c>
      <c r="J550" s="4">
        <f t="shared" si="113"/>
        <v>686.65128744838728</v>
      </c>
      <c r="K550">
        <f t="shared" si="118"/>
        <v>-2.3207309979543008E-3</v>
      </c>
      <c r="L550">
        <f t="shared" si="121"/>
        <v>-1.0792927892396347E-3</v>
      </c>
      <c r="M550" s="3">
        <f t="shared" si="114"/>
        <v>-1.429878554878199E-4</v>
      </c>
      <c r="N550" t="str">
        <f t="shared" ca="1" si="115"/>
        <v>wait</v>
      </c>
      <c r="O550">
        <f t="shared" si="122"/>
        <v>-1.8766727641637004E-3</v>
      </c>
      <c r="P550">
        <f t="shared" si="123"/>
        <v>-2.4659370208227616E-3</v>
      </c>
      <c r="Q550">
        <f t="shared" si="124"/>
        <v>-6.030743129390892E-3</v>
      </c>
      <c r="R550">
        <f t="shared" si="119"/>
        <v>1.9126573273373193E-2</v>
      </c>
      <c r="S550" s="3">
        <f t="shared" si="125"/>
        <v>-3.1832570743583598E-3</v>
      </c>
      <c r="T550" s="3">
        <f t="shared" si="116"/>
        <v>-1.0699584858152359E-3</v>
      </c>
      <c r="V550" t="str">
        <f t="shared" si="117"/>
        <v>-1-1-1</v>
      </c>
    </row>
    <row r="551" spans="1:22">
      <c r="A551" s="1">
        <v>46093</v>
      </c>
      <c r="B551" t="s">
        <v>7</v>
      </c>
      <c r="C551">
        <v>671.1599731</v>
      </c>
      <c r="D551">
        <v>671.65002440000001</v>
      </c>
      <c r="E551">
        <v>665.86999509999998</v>
      </c>
      <c r="F551">
        <v>666.05999759999997</v>
      </c>
      <c r="G551">
        <v>108882200</v>
      </c>
      <c r="H551">
        <f t="shared" si="120"/>
        <v>677.09400635999998</v>
      </c>
      <c r="I551">
        <f t="shared" si="126"/>
        <v>683.6760009799998</v>
      </c>
      <c r="J551" s="4">
        <f t="shared" si="113"/>
        <v>686.54306227258076</v>
      </c>
      <c r="K551">
        <f t="shared" si="118"/>
        <v>-1.4618838759280261E-3</v>
      </c>
      <c r="L551">
        <f t="shared" si="121"/>
        <v>-1.1294008615428375E-3</v>
      </c>
      <c r="M551" s="3">
        <f t="shared" si="114"/>
        <v>-2.7245686695327921E-4</v>
      </c>
      <c r="N551" t="str">
        <f t="shared" ca="1" si="115"/>
        <v>wait</v>
      </c>
      <c r="O551">
        <f t="shared" si="122"/>
        <v>-8.7639725123264123E-3</v>
      </c>
      <c r="P551">
        <f t="shared" si="123"/>
        <v>-1.1283355823915597E-3</v>
      </c>
      <c r="Q551">
        <f t="shared" si="124"/>
        <v>-5.544251499405628E-3</v>
      </c>
      <c r="R551">
        <f t="shared" si="119"/>
        <v>4.8649162998526396E-4</v>
      </c>
      <c r="S551" s="3">
        <f t="shared" si="125"/>
        <v>-4.1760837012764628E-3</v>
      </c>
      <c r="T551" s="3">
        <f t="shared" si="116"/>
        <v>-9.9282662691810297E-4</v>
      </c>
      <c r="V551" t="str">
        <f t="shared" si="117"/>
        <v>-1-1-1</v>
      </c>
    </row>
    <row r="552" spans="1:22">
      <c r="A552" s="1">
        <v>46094</v>
      </c>
      <c r="B552" t="s">
        <v>7</v>
      </c>
      <c r="C552">
        <v>669.27001949999999</v>
      </c>
      <c r="D552">
        <v>672.3400269</v>
      </c>
      <c r="E552">
        <v>661.35998540000003</v>
      </c>
      <c r="F552">
        <v>662.28997800000002</v>
      </c>
      <c r="G552">
        <v>97200200</v>
      </c>
      <c r="H552">
        <f t="shared" si="120"/>
        <v>674.04400635999991</v>
      </c>
      <c r="I552">
        <f t="shared" si="126"/>
        <v>682.38099975999978</v>
      </c>
      <c r="J552" s="4">
        <f t="shared" si="113"/>
        <v>686.19612663225826</v>
      </c>
      <c r="K552">
        <f t="shared" si="118"/>
        <v>-1.879891505976591E-3</v>
      </c>
      <c r="L552">
        <f t="shared" si="121"/>
        <v>-1.1162990785329881E-3</v>
      </c>
      <c r="M552" s="3">
        <f t="shared" si="114"/>
        <v>-5.5888450052032543E-4</v>
      </c>
      <c r="N552" t="str">
        <f t="shared" ca="1" si="115"/>
        <v>wait</v>
      </c>
      <c r="O552">
        <f t="shared" si="122"/>
        <v>-7.0826041251825789E-3</v>
      </c>
      <c r="P552">
        <f t="shared" si="123"/>
        <v>-1.1844936954658936E-2</v>
      </c>
      <c r="Q552">
        <f t="shared" si="124"/>
        <v>-1.2126821369040197E-2</v>
      </c>
      <c r="R552">
        <f t="shared" si="119"/>
        <v>-6.5825698696345691E-3</v>
      </c>
      <c r="S552" s="3">
        <f t="shared" si="125"/>
        <v>-5.5598198884953083E-3</v>
      </c>
      <c r="T552" s="3">
        <f t="shared" si="116"/>
        <v>-1.3837361872188455E-3</v>
      </c>
      <c r="V552" t="str">
        <f t="shared" si="117"/>
        <v>-1-1-1</v>
      </c>
    </row>
    <row r="553" spans="1:22">
      <c r="A553" s="1">
        <v>46097</v>
      </c>
      <c r="B553" t="s">
        <v>7</v>
      </c>
      <c r="C553">
        <v>668.38000490000002</v>
      </c>
      <c r="D553">
        <v>672.07000730000004</v>
      </c>
      <c r="E553">
        <v>667.11999509999998</v>
      </c>
      <c r="F553">
        <v>669.03002930000002</v>
      </c>
      <c r="G553">
        <v>82023100</v>
      </c>
      <c r="H553">
        <f t="shared" si="120"/>
        <v>672.02600098000005</v>
      </c>
      <c r="I553">
        <f t="shared" si="126"/>
        <v>681.43199768499994</v>
      </c>
      <c r="J553" s="4">
        <f t="shared" si="113"/>
        <v>685.76257816612917</v>
      </c>
      <c r="K553">
        <f t="shared" si="118"/>
        <v>-4.7119999529921641E-3</v>
      </c>
      <c r="L553">
        <f t="shared" si="121"/>
        <v>-1.4272110011001086E-3</v>
      </c>
      <c r="M553" s="3">
        <f t="shared" si="114"/>
        <v>-4.759747203347923E-4</v>
      </c>
      <c r="N553" t="str">
        <f t="shared" ca="1" si="115"/>
        <v>wait</v>
      </c>
      <c r="O553">
        <f t="shared" si="122"/>
        <v>-5.4253794863341476E-3</v>
      </c>
      <c r="P553">
        <f t="shared" si="123"/>
        <v>-1.448756888245728E-2</v>
      </c>
      <c r="Q553">
        <f t="shared" si="124"/>
        <v>-1.5871432897605176E-2</v>
      </c>
      <c r="R553">
        <f t="shared" si="119"/>
        <v>-3.7446115285649784E-3</v>
      </c>
      <c r="S553" s="3">
        <f t="shared" si="125"/>
        <v>-6.3149851260622869E-3</v>
      </c>
      <c r="T553" s="3">
        <f t="shared" si="116"/>
        <v>-7.5516523756697859E-4</v>
      </c>
      <c r="V553" t="str">
        <f t="shared" si="117"/>
        <v>-1-1-1</v>
      </c>
    </row>
    <row r="554" spans="1:22">
      <c r="A554" s="1">
        <v>46098</v>
      </c>
      <c r="B554" t="s">
        <v>7</v>
      </c>
      <c r="C554">
        <v>672.39001459999997</v>
      </c>
      <c r="D554">
        <v>674.44000240000003</v>
      </c>
      <c r="E554">
        <v>669.70001219999995</v>
      </c>
      <c r="F554">
        <v>670.78997800000002</v>
      </c>
      <c r="G554">
        <v>87128000</v>
      </c>
      <c r="H554">
        <f t="shared" si="120"/>
        <v>670.17800293999994</v>
      </c>
      <c r="I554">
        <f t="shared" si="126"/>
        <v>680.79599914999994</v>
      </c>
      <c r="J554" s="4">
        <f t="shared" si="113"/>
        <v>685.55725589999997</v>
      </c>
      <c r="K554">
        <f t="shared" si="118"/>
        <v>-2.4070301804118657E-3</v>
      </c>
      <c r="L554">
        <f t="shared" si="121"/>
        <v>-1.0119313753988782E-3</v>
      </c>
      <c r="M554" s="3">
        <f t="shared" si="114"/>
        <v>-2.8645599907828134E-4</v>
      </c>
      <c r="N554" t="str">
        <f t="shared" ca="1" si="115"/>
        <v>wait</v>
      </c>
      <c r="O554">
        <f t="shared" si="122"/>
        <v>3.3006330412161944E-3</v>
      </c>
      <c r="P554">
        <f t="shared" si="123"/>
        <v>-1.7129384058621744E-3</v>
      </c>
      <c r="Q554">
        <f t="shared" si="124"/>
        <v>-4.5629785319494243E-3</v>
      </c>
      <c r="R554">
        <f t="shared" si="119"/>
        <v>1.1308454365655751E-2</v>
      </c>
      <c r="S554" s="3">
        <f t="shared" si="125"/>
        <v>-6.9450898652504943E-3</v>
      </c>
      <c r="T554" s="3">
        <f t="shared" si="116"/>
        <v>-6.3010473918820743E-4</v>
      </c>
      <c r="V554" t="str">
        <f t="shared" si="117"/>
        <v>-1-1-1</v>
      </c>
    </row>
    <row r="555" spans="1:22">
      <c r="A555" s="1">
        <v>46099</v>
      </c>
      <c r="B555" t="s">
        <v>7</v>
      </c>
      <c r="C555">
        <v>668.35998540000003</v>
      </c>
      <c r="D555">
        <v>669.71997069999998</v>
      </c>
      <c r="E555">
        <v>661.19000240000003</v>
      </c>
      <c r="F555">
        <v>661.42999269999996</v>
      </c>
      <c r="G555">
        <v>82062600</v>
      </c>
      <c r="H555">
        <f t="shared" si="120"/>
        <v>668.9</v>
      </c>
      <c r="I555">
        <f t="shared" si="126"/>
        <v>680.19299926999997</v>
      </c>
      <c r="J555" s="4">
        <f t="shared" si="113"/>
        <v>685.3969332790324</v>
      </c>
      <c r="K555">
        <f t="shared" si="118"/>
        <v>-1.6382650362776409E-3</v>
      </c>
      <c r="L555">
        <f t="shared" si="121"/>
        <v>-1.1292602614692416E-3</v>
      </c>
      <c r="M555" s="3">
        <f t="shared" si="114"/>
        <v>-1.9836927930041913E-4</v>
      </c>
      <c r="N555" t="str">
        <f t="shared" ca="1" si="115"/>
        <v>wait</v>
      </c>
      <c r="O555">
        <f t="shared" si="122"/>
        <v>-8.0731738675432485E-4</v>
      </c>
      <c r="P555">
        <f t="shared" si="123"/>
        <v>2.8255015697413732E-3</v>
      </c>
      <c r="Q555">
        <f t="shared" si="124"/>
        <v>1.1960116609357474E-3</v>
      </c>
      <c r="R555">
        <f t="shared" si="119"/>
        <v>5.7589901928851717E-3</v>
      </c>
      <c r="S555" s="3">
        <f t="shared" si="125"/>
        <v>-7.5925843206448166E-3</v>
      </c>
      <c r="T555" s="3">
        <f t="shared" si="116"/>
        <v>-6.4749445539432227E-4</v>
      </c>
      <c r="V555" t="str">
        <f t="shared" si="117"/>
        <v>-1-1-1</v>
      </c>
    </row>
    <row r="556" spans="1:22">
      <c r="A556" s="1">
        <v>46100</v>
      </c>
      <c r="B556" t="s">
        <v>7</v>
      </c>
      <c r="C556">
        <v>656.96997069999998</v>
      </c>
      <c r="D556">
        <v>662.97998050000001</v>
      </c>
      <c r="E556">
        <v>655.16998290000004</v>
      </c>
      <c r="F556">
        <v>659.79998780000005</v>
      </c>
      <c r="G556">
        <v>111272500</v>
      </c>
      <c r="H556">
        <f t="shared" si="120"/>
        <v>665.91999512000007</v>
      </c>
      <c r="I556">
        <f t="shared" si="126"/>
        <v>678.95000000499999</v>
      </c>
      <c r="J556" s="4">
        <f t="shared" si="113"/>
        <v>685.11564291774209</v>
      </c>
      <c r="K556">
        <f t="shared" si="118"/>
        <v>-1.3902666176270058E-3</v>
      </c>
      <c r="L556">
        <f t="shared" si="121"/>
        <v>-1.6837590913296296E-3</v>
      </c>
      <c r="M556" s="3">
        <f t="shared" si="114"/>
        <v>-2.4749357903061886E-4</v>
      </c>
      <c r="N556" t="str">
        <f t="shared" ca="1" si="115"/>
        <v>wait</v>
      </c>
      <c r="O556">
        <f t="shared" si="122"/>
        <v>-1.3440089628765861E-2</v>
      </c>
      <c r="P556">
        <f t="shared" si="123"/>
        <v>-6.7425553413379413E-3</v>
      </c>
      <c r="Q556">
        <f t="shared" si="124"/>
        <v>-7.1029444297548983E-3</v>
      </c>
      <c r="R556">
        <f t="shared" si="119"/>
        <v>-8.2989560906906457E-3</v>
      </c>
      <c r="S556" s="3">
        <f t="shared" si="125"/>
        <v>-8.999419260789487E-3</v>
      </c>
      <c r="T556" s="3">
        <f t="shared" si="116"/>
        <v>-1.4068349401446705E-3</v>
      </c>
      <c r="V556" t="str">
        <f t="shared" si="117"/>
        <v>-1-1-1</v>
      </c>
    </row>
    <row r="557" spans="1:22">
      <c r="A557" s="1">
        <v>46101</v>
      </c>
      <c r="B557" t="s">
        <v>7</v>
      </c>
      <c r="C557">
        <v>656.51000980000003</v>
      </c>
      <c r="D557">
        <v>656.69000240000003</v>
      </c>
      <c r="E557">
        <v>644.71997069999998</v>
      </c>
      <c r="F557">
        <v>648.57000730000004</v>
      </c>
      <c r="G557">
        <v>163617500</v>
      </c>
      <c r="H557">
        <f t="shared" si="120"/>
        <v>664.66799315999992</v>
      </c>
      <c r="I557">
        <f t="shared" si="126"/>
        <v>677.71600036999985</v>
      </c>
      <c r="J557" s="4">
        <f t="shared" si="113"/>
        <v>684.92854555322583</v>
      </c>
      <c r="K557">
        <f t="shared" si="118"/>
        <v>-7.5193352842792543E-4</v>
      </c>
      <c r="L557">
        <f t="shared" si="121"/>
        <v>-2.1488769863318934E-3</v>
      </c>
      <c r="M557" s="3">
        <f t="shared" si="114"/>
        <v>-4.1071009855150702E-4</v>
      </c>
      <c r="N557" t="str">
        <f t="shared" ca="1" si="115"/>
        <v>wait</v>
      </c>
      <c r="O557">
        <f t="shared" si="122"/>
        <v>-1.2273771934187439E-2</v>
      </c>
      <c r="P557">
        <f t="shared" si="123"/>
        <v>-7.3239653633028201E-3</v>
      </c>
      <c r="Q557">
        <f t="shared" si="124"/>
        <v>-1.4289856526480182E-2</v>
      </c>
      <c r="R557">
        <f t="shared" si="119"/>
        <v>-7.1869120967252842E-3</v>
      </c>
      <c r="S557" s="3">
        <f t="shared" si="125"/>
        <v>-1.0530361495446677E-2</v>
      </c>
      <c r="T557" s="3">
        <f t="shared" si="116"/>
        <v>-1.5309422346571899E-3</v>
      </c>
      <c r="V557" t="str">
        <f t="shared" si="117"/>
        <v>-1-1-1</v>
      </c>
    </row>
    <row r="558" spans="1:22">
      <c r="A558" s="1">
        <v>46104</v>
      </c>
      <c r="B558" t="s">
        <v>7</v>
      </c>
      <c r="C558">
        <v>658.07000730000004</v>
      </c>
      <c r="D558">
        <v>662.61999509999998</v>
      </c>
      <c r="E558">
        <v>653.94000240000003</v>
      </c>
      <c r="F558">
        <v>655.38000490000002</v>
      </c>
      <c r="G558">
        <v>134802700</v>
      </c>
      <c r="H558">
        <f t="shared" si="120"/>
        <v>661.92399902</v>
      </c>
      <c r="I558">
        <f t="shared" si="126"/>
        <v>675.67300109999996</v>
      </c>
      <c r="J558" s="4">
        <f t="shared" si="113"/>
        <v>684.47854614354844</v>
      </c>
      <c r="K558">
        <f t="shared" si="118"/>
        <v>-6.116323962739644E-3</v>
      </c>
      <c r="L558">
        <f t="shared" si="121"/>
        <v>-2.4780555530127717E-3</v>
      </c>
      <c r="M558" s="3">
        <f t="shared" si="114"/>
        <v>-7.8412402803508172E-4</v>
      </c>
      <c r="N558" t="str">
        <f t="shared" ca="1" si="115"/>
        <v>buy</v>
      </c>
      <c r="O558">
        <f t="shared" si="122"/>
        <v>-5.8224082004971756E-3</v>
      </c>
      <c r="P558">
        <f t="shared" si="123"/>
        <v>-2.0174509067160229E-2</v>
      </c>
      <c r="Q558">
        <f t="shared" si="124"/>
        <v>-2.5990942080165058E-2</v>
      </c>
      <c r="R558">
        <f t="shared" si="119"/>
        <v>-1.1701085553684876E-2</v>
      </c>
      <c r="S558" s="3">
        <f t="shared" si="125"/>
        <v>-1.2864603416951776E-2</v>
      </c>
      <c r="T558" s="3">
        <f t="shared" si="116"/>
        <v>-2.3342419215050987E-3</v>
      </c>
      <c r="V558" t="str">
        <f t="shared" si="117"/>
        <v>-1-1-1</v>
      </c>
    </row>
    <row r="559" spans="1:22">
      <c r="A559" s="1">
        <v>46105</v>
      </c>
      <c r="B559" t="s">
        <v>7</v>
      </c>
      <c r="C559">
        <v>651.32000730000004</v>
      </c>
      <c r="D559">
        <v>657.03002930000002</v>
      </c>
      <c r="E559">
        <v>649.88000490000002</v>
      </c>
      <c r="F559">
        <v>653.17999269999996</v>
      </c>
      <c r="G559">
        <v>96457500</v>
      </c>
      <c r="H559">
        <f t="shared" si="120"/>
        <v>659.19399413999997</v>
      </c>
      <c r="I559">
        <f t="shared" si="126"/>
        <v>674.32250061500008</v>
      </c>
      <c r="J559" s="4">
        <f t="shared" si="113"/>
        <v>684.07193288548387</v>
      </c>
      <c r="K559">
        <f t="shared" si="118"/>
        <v>-4.5945746374880993E-3</v>
      </c>
      <c r="L559">
        <f t="shared" si="121"/>
        <v>-2.3255962635404782E-3</v>
      </c>
      <c r="M559" s="3">
        <f t="shared" si="114"/>
        <v>-7.1672316401252822E-4</v>
      </c>
      <c r="N559" t="str">
        <f t="shared" ca="1" si="115"/>
        <v>wait</v>
      </c>
      <c r="O559">
        <f t="shared" si="122"/>
        <v>-1.1944870417505138E-2</v>
      </c>
      <c r="P559">
        <f t="shared" si="123"/>
        <v>-5.7858373618463466E-3</v>
      </c>
      <c r="Q559">
        <f t="shared" si="124"/>
        <v>-7.970327076256889E-3</v>
      </c>
      <c r="R559">
        <f t="shared" si="119"/>
        <v>1.8020615003908169E-2</v>
      </c>
      <c r="S559" s="3">
        <f t="shared" si="125"/>
        <v>-1.4252057132880329E-2</v>
      </c>
      <c r="T559" s="3">
        <f t="shared" si="116"/>
        <v>-1.3874537159285528E-3</v>
      </c>
      <c r="V559" t="str">
        <f t="shared" si="117"/>
        <v>-1-1-1</v>
      </c>
    </row>
    <row r="560" spans="1:22">
      <c r="A560" s="1">
        <v>46106</v>
      </c>
      <c r="B560" t="s">
        <v>7</v>
      </c>
      <c r="C560">
        <v>658.66998290000004</v>
      </c>
      <c r="D560">
        <v>660.89001459999997</v>
      </c>
      <c r="E560">
        <v>654.23999019999997</v>
      </c>
      <c r="F560">
        <v>656.82000730000004</v>
      </c>
      <c r="G560">
        <v>90653800</v>
      </c>
      <c r="H560">
        <f t="shared" si="120"/>
        <v>655.6719970800001</v>
      </c>
      <c r="I560">
        <f t="shared" si="126"/>
        <v>672.61400147000018</v>
      </c>
      <c r="J560" s="4">
        <f t="shared" si="113"/>
        <v>683.56144862096778</v>
      </c>
      <c r="K560">
        <f t="shared" si="118"/>
        <v>-2.4945950716032598E-3</v>
      </c>
      <c r="L560">
        <f t="shared" si="121"/>
        <v>-2.883216496645055E-3</v>
      </c>
      <c r="M560" s="3">
        <f t="shared" si="114"/>
        <v>-8.4258843023294228E-4</v>
      </c>
      <c r="N560" t="str">
        <f t="shared" ca="1" si="115"/>
        <v>wait</v>
      </c>
      <c r="O560">
        <f t="shared" si="122"/>
        <v>4.5723865489930571E-3</v>
      </c>
      <c r="P560">
        <f t="shared" si="123"/>
        <v>-3.8006875253147054E-3</v>
      </c>
      <c r="Q560">
        <f t="shared" si="124"/>
        <v>-8.8336732478958568E-3</v>
      </c>
      <c r="R560">
        <f t="shared" si="119"/>
        <v>-8.6334617163896787E-4</v>
      </c>
      <c r="S560" s="3">
        <f t="shared" si="125"/>
        <v>-1.6015308021031949E-2</v>
      </c>
      <c r="T560" s="3">
        <f t="shared" si="116"/>
        <v>-1.7632508881516209E-3</v>
      </c>
      <c r="V560" t="str">
        <f t="shared" si="117"/>
        <v>-1-1-1</v>
      </c>
    </row>
    <row r="561" spans="1:22">
      <c r="A561" s="1">
        <v>46107</v>
      </c>
      <c r="B561" t="s">
        <v>7</v>
      </c>
      <c r="C561">
        <v>652.05999759999997</v>
      </c>
      <c r="D561">
        <v>654.84997559999999</v>
      </c>
      <c r="E561">
        <v>644.82000730000004</v>
      </c>
      <c r="F561">
        <v>645.0900269</v>
      </c>
      <c r="G561">
        <v>96494400</v>
      </c>
      <c r="H561">
        <f t="shared" si="120"/>
        <v>654.75</v>
      </c>
      <c r="I561">
        <f t="shared" si="126"/>
        <v>670.7975006150001</v>
      </c>
      <c r="J561" s="4">
        <f t="shared" si="113"/>
        <v>683.05919031935491</v>
      </c>
      <c r="K561">
        <f t="shared" si="118"/>
        <v>-9.0329813734501261E-4</v>
      </c>
      <c r="L561">
        <f t="shared" si="121"/>
        <v>-2.3560119740945111E-3</v>
      </c>
      <c r="M561" s="3">
        <f t="shared" si="114"/>
        <v>-8.1018176853825754E-4</v>
      </c>
      <c r="N561" t="str">
        <f t="shared" ca="1" si="115"/>
        <v>wait</v>
      </c>
      <c r="O561">
        <f t="shared" si="122"/>
        <v>-4.1084420007636568E-3</v>
      </c>
      <c r="P561">
        <f t="shared" si="123"/>
        <v>3.161523176785197E-3</v>
      </c>
      <c r="Q561">
        <f t="shared" si="124"/>
        <v>-7.789382206949691E-4</v>
      </c>
      <c r="R561">
        <f t="shared" si="119"/>
        <v>8.0547350272008877E-3</v>
      </c>
      <c r="S561" s="3">
        <f t="shared" si="125"/>
        <v>-1.7951137878142044E-2</v>
      </c>
      <c r="T561" s="3">
        <f t="shared" si="116"/>
        <v>-1.9358298571100947E-3</v>
      </c>
      <c r="V561" t="str">
        <f t="shared" si="117"/>
        <v>-1-1-1</v>
      </c>
    </row>
    <row r="562" spans="1:22">
      <c r="A562" s="1">
        <v>46108</v>
      </c>
      <c r="B562" t="s">
        <v>7</v>
      </c>
      <c r="C562">
        <v>642.5</v>
      </c>
      <c r="D562">
        <v>642.6599731</v>
      </c>
      <c r="E562">
        <v>633.10998540000003</v>
      </c>
      <c r="F562">
        <v>634.0900269</v>
      </c>
      <c r="G562">
        <v>103649400</v>
      </c>
      <c r="H562">
        <f t="shared" si="120"/>
        <v>651.80800781999994</v>
      </c>
      <c r="I562">
        <f t="shared" si="126"/>
        <v>668.58700256999998</v>
      </c>
      <c r="J562" s="4">
        <f t="shared" si="113"/>
        <v>682.32870680322583</v>
      </c>
      <c r="K562">
        <f t="shared" si="118"/>
        <v>-1.0731240608819453E-3</v>
      </c>
      <c r="L562">
        <f t="shared" si="121"/>
        <v>-2.9810903864701879E-3</v>
      </c>
      <c r="M562" s="3">
        <f t="shared" si="114"/>
        <v>-1.0917793179203593E-3</v>
      </c>
      <c r="N562" t="str">
        <f t="shared" ca="1" si="115"/>
        <v>wait</v>
      </c>
      <c r="O562">
        <f t="shared" si="122"/>
        <v>-1.4280290681194518E-2</v>
      </c>
      <c r="P562">
        <f t="shared" si="123"/>
        <v>-1.030668669209589E-2</v>
      </c>
      <c r="Q562">
        <f t="shared" si="124"/>
        <v>-1.0720949169329086E-2</v>
      </c>
      <c r="R562">
        <f t="shared" si="119"/>
        <v>-9.9420109486341168E-3</v>
      </c>
      <c r="S562" s="3">
        <f t="shared" si="125"/>
        <v>-2.0139419749180747E-2</v>
      </c>
      <c r="T562" s="3">
        <f t="shared" si="116"/>
        <v>-2.1882818710387032E-3</v>
      </c>
      <c r="V562" t="str">
        <f t="shared" si="117"/>
        <v>-1-1-1</v>
      </c>
    </row>
    <row r="563" spans="1:22">
      <c r="A563" s="1">
        <v>46111</v>
      </c>
      <c r="B563" t="s">
        <v>7</v>
      </c>
      <c r="C563">
        <v>640.10998540000003</v>
      </c>
      <c r="D563">
        <v>640.36999509999998</v>
      </c>
      <c r="E563">
        <v>629.28002930000002</v>
      </c>
      <c r="F563">
        <v>631.96997069999998</v>
      </c>
      <c r="G563">
        <v>99275900</v>
      </c>
      <c r="H563">
        <f t="shared" si="120"/>
        <v>648.91201174000003</v>
      </c>
      <c r="I563">
        <f t="shared" si="126"/>
        <v>665.99200440499999</v>
      </c>
      <c r="J563" s="4">
        <f t="shared" si="113"/>
        <v>681.42193308225819</v>
      </c>
      <c r="K563">
        <f t="shared" si="118"/>
        <v>-6.4969873480496291E-3</v>
      </c>
      <c r="L563">
        <f t="shared" si="121"/>
        <v>-3.8091128548840988E-3</v>
      </c>
      <c r="M563" s="3">
        <f t="shared" si="114"/>
        <v>-1.3026083837808307E-3</v>
      </c>
      <c r="N563" t="str">
        <f t="shared" ca="1" si="115"/>
        <v>wait</v>
      </c>
      <c r="O563">
        <f t="shared" si="122"/>
        <v>-1.3564283262992971E-2</v>
      </c>
      <c r="P563">
        <f t="shared" si="123"/>
        <v>-2.2841285986148097E-2</v>
      </c>
      <c r="Q563">
        <f t="shared" si="124"/>
        <v>-2.4351570095964559E-2</v>
      </c>
      <c r="R563">
        <f t="shared" si="119"/>
        <v>-1.3630620926635473E-2</v>
      </c>
      <c r="S563" s="3">
        <f t="shared" si="125"/>
        <v>-2.2643721794313849E-2</v>
      </c>
      <c r="T563" s="3">
        <f t="shared" si="116"/>
        <v>-2.504302045133102E-3</v>
      </c>
      <c r="V563" t="str">
        <f t="shared" si="117"/>
        <v>-1-1-1</v>
      </c>
    </row>
    <row r="564" spans="1:22">
      <c r="A564" s="1">
        <v>46112</v>
      </c>
      <c r="B564" t="s">
        <v>7</v>
      </c>
      <c r="C564">
        <v>638.94000240000003</v>
      </c>
      <c r="D564">
        <v>651.53997800000002</v>
      </c>
      <c r="E564">
        <v>637.97998050000001</v>
      </c>
      <c r="F564">
        <v>650.3400269</v>
      </c>
      <c r="G564">
        <v>152197200</v>
      </c>
      <c r="H564">
        <f>AVERAGE(F559:F563)</f>
        <v>644.23000489999993</v>
      </c>
      <c r="I564">
        <f>AVERAGE(F544:F563)</f>
        <v>663.27150269500009</v>
      </c>
      <c r="J564" s="4">
        <f>AVERAGE(F502:F563)</f>
        <v>680.52064268064498</v>
      </c>
      <c r="K564">
        <f t="shared" si="118"/>
        <v>-6.4943881432515229E-3</v>
      </c>
      <c r="L564">
        <f t="shared" si="121"/>
        <v>-3.5541608619697037E-3</v>
      </c>
      <c r="M564" s="3">
        <f t="shared" si="114"/>
        <v>-1.3352556322535273E-3</v>
      </c>
      <c r="N564" t="str">
        <f t="shared" ca="1" si="115"/>
        <v>wait</v>
      </c>
      <c r="O564">
        <f t="shared" si="122"/>
        <v>-8.2113569063289038E-3</v>
      </c>
      <c r="P564">
        <f t="shared" si="123"/>
        <v>-1.9030523426028623E-2</v>
      </c>
      <c r="Q564">
        <f t="shared" si="124"/>
        <v>-2.3205959806731569E-2</v>
      </c>
      <c r="R564">
        <f t="shared" si="119"/>
        <v>1.14561028923299E-3</v>
      </c>
      <c r="S564" s="3">
        <f t="shared" si="125"/>
        <v>-2.534697539474871E-2</v>
      </c>
      <c r="T564" s="3">
        <f t="shared" si="116"/>
        <v>-2.7032536004348608E-3</v>
      </c>
      <c r="V564" t="str">
        <f t="shared" si="117"/>
        <v>-1-1-1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SPY_trend_state_research_1d_mar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殷翔</dc:creator>
  <cp:lastModifiedBy>殷翔</cp:lastModifiedBy>
  <dcterms:created xsi:type="dcterms:W3CDTF">2026-04-01T14:42:10Z</dcterms:created>
  <dcterms:modified xsi:type="dcterms:W3CDTF">2026-04-01T16:38:36Z</dcterms:modified>
</cp:coreProperties>
</file>